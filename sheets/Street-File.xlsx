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LEDGER" sheetId="2" state="visible" r:id="rId2"/>
    <sheet name="CONTACTS" sheetId="3" state="visible" r:id="rId3"/>
    <sheet name="NET" sheetId="4" state="visible" r:id="rId4"/>
    <sheet name="GARAGE" sheetId="5" state="visible" r:id="rId5"/>
    <sheet name="WORKSHOP" sheetId="6" state="visible" r:id="rId6"/>
    <sheet name="CLINIC" sheetId="7" state="visible" r:id="rId7"/>
    <sheet name="TEAM" sheetId="8" state="visible" r:id="rId8"/>
    <sheet name="WISHLIST" sheetId="9" state="visible" r:id="rId9"/>
    <sheet name="REF_COMBAT" sheetId="10" state="visible" r:id="rId10"/>
    <sheet name="REF_RANGE" sheetId="11" state="visible" r:id="rId11"/>
    <sheet name="REF_DV" sheetId="12" state="visible" r:id="rId12"/>
  </sheets>
  <definedNames>
    <definedName name="_xlnm._FilterDatabase" localSheetId="1" hidden="1">'LEDGER'!$A$3:$K$43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eb&quot;"/>
  </numFmts>
  <fonts count="11">
    <font>
      <name val="Calibri"/>
      <family val="2"/>
      <color theme="1"/>
      <sz val="11"/>
      <scheme val="minor"/>
    </font>
    <font>
      <name val="Calibri"/>
      <b val="1"/>
      <color rgb="00C4A35A"/>
      <sz val="18"/>
    </font>
    <font>
      <name val="Calibri"/>
      <b val="1"/>
      <color rgb="001A1A1A"/>
      <sz val="9"/>
    </font>
    <font>
      <name val="Calibri"/>
      <color rgb="001A1A1A"/>
      <sz val="10"/>
    </font>
    <font>
      <name val="Calibri"/>
      <b val="1"/>
      <color rgb="00FFFFFF"/>
      <sz val="11"/>
    </font>
    <font>
      <name val="Calibri"/>
      <b val="1"/>
      <color rgb="009B1B2E"/>
      <sz val="12"/>
    </font>
    <font>
      <name val="Calibri"/>
      <i val="1"/>
      <color rgb="005C5346"/>
      <sz val="8"/>
    </font>
    <font>
      <name val="Calibri"/>
      <b val="1"/>
      <sz val="12"/>
    </font>
    <font>
      <name val="Calibri"/>
      <b val="1"/>
      <sz val="9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7F1E6"/>
      </patternFill>
    </fill>
    <fill>
      <patternFill patternType="solid">
        <fgColor rgb="00FFFFFF"/>
      </patternFill>
    </fill>
    <fill>
      <patternFill patternType="solid">
        <fgColor rgb="009B1B2E"/>
      </patternFill>
    </fill>
    <fill>
      <patternFill patternType="solid">
        <fgColor rgb="00FFF8EC"/>
      </patternFill>
    </fill>
    <fill>
      <patternFill patternType="solid">
        <fgColor rgb="00FBF6EC"/>
      </patternFill>
    </fill>
    <fill>
      <patternFill patternType="solid">
        <fgColor rgb="002C3338"/>
      </patternFill>
    </fill>
  </fills>
  <borders count="7">
    <border>
      <left/>
      <right/>
      <top/>
      <bottom/>
      <diagonal/>
    </border>
    <border>
      <left style="thin">
        <color rgb="00B9A989"/>
      </left>
      <right style="thin">
        <color rgb="00B9A989"/>
      </right>
      <top style="thin">
        <color rgb="00B9A989"/>
      </top>
      <bottom style="thin">
        <color rgb="00B9A989"/>
      </bottom>
    </border>
    <border>
      <left/>
      <right/>
      <top style="thin">
        <color rgb="00B9A989"/>
      </top>
      <bottom/>
      <diagonal/>
    </border>
    <border>
      <left/>
      <right style="thin">
        <color rgb="00B9A989"/>
      </right>
      <top style="thin">
        <color rgb="00B9A989"/>
      </top>
      <bottom/>
      <diagonal/>
    </border>
    <border>
      <left/>
      <right/>
      <top style="thin">
        <color rgb="00B9A989"/>
      </top>
      <bottom style="thin">
        <color rgb="00B9A989"/>
      </bottom>
      <diagonal/>
    </border>
    <border>
      <left/>
      <right style="thin">
        <color rgb="00B9A989"/>
      </right>
      <top style="thin">
        <color rgb="00B9A989"/>
      </top>
      <bottom style="thin">
        <color rgb="00B9A989"/>
      </bottom>
      <diagonal/>
    </border>
    <border>
      <left style="medium">
        <color rgb="001A1A1A"/>
      </left>
      <right style="medium">
        <color rgb="001A1A1A"/>
      </right>
      <top style="medium">
        <color rgb="001A1A1A"/>
      </top>
      <bottom style="medium">
        <color rgb="001A1A1A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3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6" fillId="6" borderId="6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left" vertical="center" wrapText="1"/>
    </xf>
    <xf numFmtId="1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left" vertical="center" wrapText="1"/>
    </xf>
    <xf numFmtId="1" fontId="3" fillId="7" borderId="1" applyAlignment="1" pivotButton="0" quotePrefix="0" xfId="0">
      <alignment horizontal="left" vertical="center" wrapText="1"/>
    </xf>
    <xf numFmtId="164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8" borderId="0" pivotButton="0" quotePrefix="0" xfId="0"/>
    <xf numFmtId="0" fontId="0" fillId="8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3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0" borderId="0" pivotButton="0" quotePrefix="0" xfId="0"/>
    <xf numFmtId="0" fontId="1" fillId="8" borderId="0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2" borderId="0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9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NC//NET</author>
  </authors>
  <commentList>
    <comment ref="B3" authorId="0" shapeId="0">
      <text>
        <t>Must match Handle on Street-File.pdf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83820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8382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LEDGER" displayName="LEDGER" ref="A3:K43" headerRowCount="1">
  <autoFilter ref="A3:K43"/>
  <tableColumns count="11">
    <tableColumn id="1" name="Date"/>
    <tableColumn id="2" name="Job / incident"/>
    <tableColumn id="3" name="Client"/>
    <tableColumn id="4" name="Related persons"/>
    <tableColumn id="5" name="Outcome"/>
    <tableColumn id="6" name="eb"/>
    <tableColumn id="7" name="IP"/>
    <tableColumn id="8" name="Heat"/>
    <tableColumn id="9" name="Therapy HL"/>
    <tableColumn id="10" name="Notes"/>
    <tableColumn id="11" name="Crew present"/>
  </tableColumns>
  <tableStyleInfo name="TableStyleMedium2" showRowStripes="1"/>
</table>
</file>

<file path=xl/tables/table2.xml><?xml version="1.0" encoding="utf-8"?>
<table xmlns="http://schemas.openxmlformats.org/spreadsheetml/2006/main" id="2" name="CONTACTS" displayName="CONTACTS" ref="A3:J23" headerRowCount="1">
  <autoFilter ref="A3:J23"/>
  <tableColumns count="10">
    <tableColumn id="1" name="Handle"/>
    <tableColumn id="2" name="Real name"/>
    <tableColumn id="3" name="Role"/>
    <tableColumn id="4" name="Relation"/>
    <tableColumn id="5" name="Hook (one line)"/>
    <tableColumn id="6" name="Useful for"/>
    <tableColumn id="7" name="Trust 1–5"/>
    <tableColumn id="8" name="Owed / owing"/>
    <tableColumn id="9" name="Reach (Agent / hangout)"/>
    <tableColumn id="10" name="Notes"/>
  </tableColumns>
  <tableStyleInfo name="TableStyleMedium1" showRowStripes="1"/>
</table>
</file>

<file path=xl/tables/table3.xml><?xml version="1.0" encoding="utf-8"?>
<table xmlns="http://schemas.openxmlformats.org/spreadsheetml/2006/main" id="3" name="GARAGE" displayName="GARAGE" ref="A6:J16" headerRowCount="1">
  <autoFilter ref="A6:J16"/>
  <tableColumns count="10">
    <tableColumn id="1" name="Vehicle"/>
    <tableColumn id="2" name="Type"/>
    <tableColumn id="3" name="MOVE"/>
    <tableColumn id="4" name="SDP"/>
    <tableColumn id="5" name="SP"/>
    <tableColumn id="6" name="Seats"/>
    <tableColumn id="7" name="Out now?"/>
    <tableColumn id="8" name="Moto rank req."/>
    <tableColumn id="9" name="Upgrades"/>
    <tableColumn id="10" name="Notes"/>
  </tableColumns>
  <tableStyleInfo name="TableStyleMedium4" showRowStripes="1"/>
</table>
</file>

<file path=xl/tables/table4.xml><?xml version="1.0" encoding="utf-8"?>
<table xmlns="http://schemas.openxmlformats.org/spreadsheetml/2006/main" id="4" name="TEAM" displayName="TEAM" ref="A6:L12" headerRowCount="1">
  <autoFilter ref="A6:L12"/>
  <tableColumns count="12">
    <tableColumn id="1" name="Handle"/>
    <tableColumn id="2" name="Cover job"/>
    <tableColumn id="3" name="True job"/>
    <tableColumn id="4" name="HP"/>
    <tableColumn id="5" name="SP"/>
    <tableColumn id="6" name="INT"/>
    <tableColumn id="7" name="REF"/>
    <tableColumn id="8" name="DEX"/>
    <tableColumn id="9" name="COOL"/>
    <tableColumn id="10" name="MOVE"/>
    <tableColumn id="11" name="Gear / chrome"/>
    <tableColumn id="12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9B1B2E"/>
    <outlinePr summaryBelow="1" summaryRight="1"/>
    <pageSetUpPr fitToPage="1"/>
  </sheetPr>
  <dimension ref="A1:H30"/>
  <sheetViews>
    <sheetView showGridLines="0" view="pageLayout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22" customWidth="1" min="8" max="8"/>
  </cols>
  <sheetData>
    <row r="1" ht="28" customHeight="1">
      <c r="A1" s="1" t="inlineStr">
        <is>
          <t xml:space="preserve">  STREET FILE   ·   META</t>
        </is>
      </c>
      <c r="B1" s="2" t="n"/>
      <c r="C1" s="2" t="n"/>
      <c r="D1" s="2" t="n"/>
      <c r="E1" s="2" t="n"/>
      <c r="F1" s="2" t="n"/>
      <c r="G1" s="2" t="n"/>
      <c r="H1" s="2" t="n"/>
    </row>
    <row r="3" ht="18" customHeight="1">
      <c r="A3" s="3" t="inlineStr">
        <is>
          <t>Handle</t>
        </is>
      </c>
      <c r="B3" s="4" t="inlineStr"/>
      <c r="C3" s="3" t="inlineStr">
        <is>
          <t>Case No.</t>
        </is>
      </c>
      <c r="D3" s="4" t="inlineStr"/>
      <c r="E3" s="5" t="n"/>
      <c r="F3" s="6" t="n"/>
    </row>
    <row r="4" ht="18" customHeight="1">
      <c r="A4" s="3" t="inlineStr">
        <is>
          <t>Real Name</t>
        </is>
      </c>
      <c r="B4" s="4" t="inlineStr"/>
      <c r="C4" s="3" t="inlineStr">
        <is>
          <t>Player</t>
        </is>
      </c>
      <c r="D4" s="4" t="inlineStr"/>
      <c r="E4" s="5" t="n"/>
      <c r="F4" s="6" t="n"/>
    </row>
    <row r="5" ht="18" customHeight="1">
      <c r="A5" s="3" t="inlineStr">
        <is>
          <t>Role / Rank</t>
        </is>
      </c>
      <c r="B5" s="4" t="inlineStr"/>
      <c r="C5" s="3" t="inlineStr">
        <is>
          <t>Role 2 / Rank 2</t>
        </is>
      </c>
      <c r="D5" s="4" t="inlineStr"/>
      <c r="E5" s="5" t="n"/>
      <c r="F5" s="6" t="n"/>
    </row>
    <row r="6" ht="18" customHeight="1">
      <c r="A6" s="3" t="inlineStr">
        <is>
          <t>Crew</t>
        </is>
      </c>
      <c r="B6" s="4" t="inlineStr"/>
      <c r="C6" s="3" t="inlineStr">
        <is>
          <t>In-world date</t>
        </is>
      </c>
      <c r="D6" s="4" t="inlineStr"/>
      <c r="E6" s="5" t="n"/>
      <c r="F6" s="6" t="n"/>
    </row>
    <row r="7" ht="18" customHeight="1">
      <c r="A7" s="3" t="inlineStr">
        <is>
          <t>Era (2045 / 2070)</t>
        </is>
      </c>
      <c r="B7" s="4" t="inlineStr">
        <is>
          <t>2070</t>
        </is>
      </c>
      <c r="C7" s="3" t="inlineStr">
        <is>
          <t>House rules</t>
        </is>
      </c>
      <c r="D7" s="4" t="inlineStr">
        <is>
          <t>Point buy 62/86 · HUM −2/non-fashion chrome · −4 Borgware (campaign)</t>
        </is>
      </c>
      <c r="E7" s="5" t="n"/>
      <c r="F7" s="6" t="n"/>
    </row>
    <row r="9">
      <c r="A9" s="7" t="inlineStr">
        <is>
          <t>RUNNING TOTALS  ·  source of truth (copy Cash / IP / Heat onto PDF page 2 after each session)</t>
        </is>
      </c>
      <c r="B9" s="8" t="n"/>
      <c r="C9" s="8" t="n"/>
      <c r="D9" s="8" t="n"/>
      <c r="E9" s="8" t="n"/>
      <c r="F9" s="8" t="n"/>
    </row>
    <row r="10" ht="18" customHeight="1">
      <c r="A10" s="3" t="inlineStr">
        <is>
          <t>Starting Cash (eb)</t>
        </is>
      </c>
      <c r="B10" s="4" t="n">
        <v>0</v>
      </c>
      <c r="D10" s="3" t="inlineStr">
        <is>
          <t>Trauma Team / subs</t>
        </is>
      </c>
      <c r="E10" s="4" t="inlineStr"/>
      <c r="F10" s="6" t="n"/>
    </row>
    <row r="11" ht="18" customHeight="1">
      <c r="A11" s="3" t="inlineStr">
        <is>
          <t>Cash now (eb)</t>
        </is>
      </c>
      <c r="B11" s="9">
        <f>B10+SUM(LEDGER!F4:F43)</f>
        <v/>
      </c>
      <c r="D11" s="3" t="inlineStr">
        <is>
          <t>Ripper / flatline contact</t>
        </is>
      </c>
      <c r="E11" s="4" t="inlineStr"/>
      <c r="F11" s="6" t="n"/>
    </row>
    <row r="12" ht="18" customHeight="1">
      <c r="A12" s="3" t="inlineStr">
        <is>
          <t>IP current</t>
        </is>
      </c>
      <c r="B12" s="4">
        <f>B13-B14</f>
        <v/>
      </c>
      <c r="D12" s="3" t="inlineStr">
        <is>
          <t>Agent #</t>
        </is>
      </c>
      <c r="E12" s="4" t="inlineStr"/>
      <c r="F12" s="6" t="n"/>
    </row>
    <row r="13" ht="18" customHeight="1">
      <c r="A13" s="3" t="inlineStr">
        <is>
          <t>IP earned (all-time)</t>
        </is>
      </c>
      <c r="B13" s="4">
        <f>SUM(LEDGER!G4:G43)</f>
        <v/>
      </c>
      <c r="D13" s="3" t="inlineStr">
        <is>
          <t>ID / SIN</t>
        </is>
      </c>
      <c r="E13" s="4" t="inlineStr"/>
      <c r="F13" s="6" t="n"/>
    </row>
    <row r="14" ht="18" customHeight="1">
      <c r="A14" s="3" t="inlineStr">
        <is>
          <t>IP spent</t>
        </is>
      </c>
      <c r="B14" s="4" t="n">
        <v>0</v>
      </c>
    </row>
    <row r="15" ht="18" customHeight="1">
      <c r="A15" s="3" t="inlineStr">
        <is>
          <t>Heat now</t>
        </is>
      </c>
      <c r="B15" s="4">
        <f>IFERROR(LOOKUP(2,1/(LEDGER!A4:A43&lt;&gt;""),LEDGER!H4:H43),"")</f>
        <v/>
      </c>
    </row>
    <row r="16" ht="18" customHeight="1">
      <c r="A16" s="3" t="inlineStr">
        <is>
          <t>Reputation (number)</t>
        </is>
      </c>
      <c r="B16" s="4" t="n">
        <v>0</v>
      </c>
    </row>
    <row r="18" ht="32" customHeight="1">
      <c r="A18" s="10" t="inlineStr">
        <is>
          <t>Sync rule: PDF is truth for stats, skills, chrome, dossier. This book is truth for €$, IP, heat, people, jobs. After a session: add a LEDGER row, then copy B11 / B12 / B15 onto PDF page 2.</t>
        </is>
      </c>
    </row>
    <row r="19" ht="20" customHeight="1">
      <c r="A19" s="10" t="inlineStr">
        <is>
          <t>Photos: Insert → Pictures into the boxes on the right (booking + known photograph). Acrobat does the same on PDF page 0.</t>
        </is>
      </c>
    </row>
    <row r="21">
      <c r="A21" s="11" t="inlineStr">
        <is>
          <t>BOOKING PHOTO</t>
        </is>
      </c>
      <c r="E21" s="11" t="inlineStr">
        <is>
          <t>KNOWN PHOTOGRAPH</t>
        </is>
      </c>
    </row>
    <row r="22" ht="22" customHeight="1">
      <c r="A22" s="12" t="inlineStr">
        <is>
          <t>Insert booking photo</t>
        </is>
      </c>
      <c r="E22" s="12" t="inlineStr">
        <is>
          <t>Insert street / known photo</t>
        </is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</sheetData>
  <mergeCells count="17">
    <mergeCell ref="A18:H18"/>
    <mergeCell ref="E12:F12"/>
    <mergeCell ref="D5:F5"/>
    <mergeCell ref="E10:F10"/>
    <mergeCell ref="D4:F4"/>
    <mergeCell ref="A9:F9"/>
    <mergeCell ref="E11:F11"/>
    <mergeCell ref="E22:G30"/>
    <mergeCell ref="D3:F3"/>
    <mergeCell ref="E13:F13"/>
    <mergeCell ref="A19:H19"/>
    <mergeCell ref="A21:C21"/>
    <mergeCell ref="A1:H1"/>
    <mergeCell ref="D7:F7"/>
    <mergeCell ref="A22:C30"/>
    <mergeCell ref="D6:F6"/>
    <mergeCell ref="E21:G21"/>
  </mergeCells>
  <printOptions horizontalCentered="1"/>
  <pageMargins left="0.4" right="0.4" top="0.5" bottom="0.5" header="0.2" footer="0.2"/>
  <pageSetup orientation="portrait" paperSize="9" fitToHeight="1" fitToWidth="1"/>
  <headerFooter>
    <oddHeader/>
    <oddFooter>&amp;LNC//NET STREET FILE  ·  unofficial table aid&amp;R&amp;A  · 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9B1B2E"/>
    <outlinePr summaryBelow="1" summaryRight="1"/>
    <pageSetUpPr fitToPage="1"/>
  </sheetPr>
  <dimension ref="A1:K47"/>
  <sheetViews>
    <sheetView showGridLines="0" view="pageLayout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0" customWidth="1" min="4" max="4"/>
    <col width="14" customWidth="1" min="5" max="5"/>
    <col width="12" customWidth="1" min="6" max="6"/>
    <col width="8" customWidth="1" min="7" max="7"/>
    <col width="16" customWidth="1" min="8" max="8"/>
    <col width="10" customWidth="1" min="9" max="9"/>
    <col width="28" customWidth="1" min="10" max="10"/>
    <col width="14" customWidth="1" min="11" max="11"/>
  </cols>
  <sheetData>
    <row r="1" ht="28" customHeight="1">
      <c r="A1" s="13" t="inlineStr">
        <is>
          <t xml:space="preserve">  INCIDENT LOG   ·   OPERATOR LEDGER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</row>
    <row r="3">
      <c r="A3" s="14" t="inlineStr">
        <is>
          <t>Date</t>
        </is>
      </c>
      <c r="B3" s="14" t="inlineStr">
        <is>
          <t>Job / incident</t>
        </is>
      </c>
      <c r="C3" s="14" t="inlineStr">
        <is>
          <t>Client</t>
        </is>
      </c>
      <c r="D3" s="14" t="inlineStr">
        <is>
          <t>Related persons</t>
        </is>
      </c>
      <c r="E3" s="14" t="inlineStr">
        <is>
          <t>Outcome</t>
        </is>
      </c>
      <c r="F3" s="14" t="inlineStr">
        <is>
          <t>eb</t>
        </is>
      </c>
      <c r="G3" s="14" t="inlineStr">
        <is>
          <t>IP</t>
        </is>
      </c>
      <c r="H3" s="14" t="inlineStr">
        <is>
          <t>Heat</t>
        </is>
      </c>
      <c r="I3" s="14" t="inlineStr">
        <is>
          <t>Therapy HL</t>
        </is>
      </c>
      <c r="J3" s="14" t="inlineStr">
        <is>
          <t>Notes</t>
        </is>
      </c>
      <c r="K3" s="14" t="inlineStr">
        <is>
          <t>Crew present</t>
        </is>
      </c>
    </row>
    <row r="4" ht="18" customHeight="1">
      <c r="A4" s="4" t="n"/>
      <c r="B4" s="4" t="n"/>
      <c r="C4" s="4" t="n"/>
      <c r="D4" s="4" t="n"/>
      <c r="E4" s="4" t="n"/>
      <c r="F4" s="15" t="n"/>
      <c r="G4" s="16" t="n"/>
      <c r="H4" s="4" t="n"/>
      <c r="I4" s="4" t="n"/>
      <c r="J4" s="4" t="n"/>
      <c r="K4" s="4" t="n"/>
    </row>
    <row r="5" ht="18" customHeight="1">
      <c r="A5" s="17" t="n"/>
      <c r="B5" s="17" t="n"/>
      <c r="C5" s="17" t="n"/>
      <c r="D5" s="17" t="n"/>
      <c r="E5" s="17" t="n"/>
      <c r="F5" s="18" t="n"/>
      <c r="G5" s="19" t="n"/>
      <c r="H5" s="17" t="n"/>
      <c r="I5" s="17" t="n"/>
      <c r="J5" s="17" t="n"/>
      <c r="K5" s="17" t="n"/>
    </row>
    <row r="6" ht="18" customHeight="1">
      <c r="A6" s="4" t="n"/>
      <c r="B6" s="4" t="n"/>
      <c r="C6" s="4" t="n"/>
      <c r="D6" s="4" t="n"/>
      <c r="E6" s="4" t="n"/>
      <c r="F6" s="15" t="n"/>
      <c r="G6" s="16" t="n"/>
      <c r="H6" s="4" t="n"/>
      <c r="I6" s="4" t="n"/>
      <c r="J6" s="4" t="n"/>
      <c r="K6" s="4" t="n"/>
    </row>
    <row r="7" ht="18" customHeight="1">
      <c r="A7" s="17" t="n"/>
      <c r="B7" s="17" t="n"/>
      <c r="C7" s="17" t="n"/>
      <c r="D7" s="17" t="n"/>
      <c r="E7" s="17" t="n"/>
      <c r="F7" s="18" t="n"/>
      <c r="G7" s="19" t="n"/>
      <c r="H7" s="17" t="n"/>
      <c r="I7" s="17" t="n"/>
      <c r="J7" s="17" t="n"/>
      <c r="K7" s="17" t="n"/>
    </row>
    <row r="8" ht="18" customHeight="1">
      <c r="A8" s="4" t="n"/>
      <c r="B8" s="4" t="n"/>
      <c r="C8" s="4" t="n"/>
      <c r="D8" s="4" t="n"/>
      <c r="E8" s="4" t="n"/>
      <c r="F8" s="15" t="n"/>
      <c r="G8" s="16" t="n"/>
      <c r="H8" s="4" t="n"/>
      <c r="I8" s="4" t="n"/>
      <c r="J8" s="4" t="n"/>
      <c r="K8" s="4" t="n"/>
    </row>
    <row r="9" ht="18" customHeight="1">
      <c r="A9" s="17" t="n"/>
      <c r="B9" s="17" t="n"/>
      <c r="C9" s="17" t="n"/>
      <c r="D9" s="17" t="n"/>
      <c r="E9" s="17" t="n"/>
      <c r="F9" s="18" t="n"/>
      <c r="G9" s="19" t="n"/>
      <c r="H9" s="17" t="n"/>
      <c r="I9" s="17" t="n"/>
      <c r="J9" s="17" t="n"/>
      <c r="K9" s="17" t="n"/>
    </row>
    <row r="10" ht="18" customHeight="1">
      <c r="A10" s="4" t="n"/>
      <c r="B10" s="4" t="n"/>
      <c r="C10" s="4" t="n"/>
      <c r="D10" s="4" t="n"/>
      <c r="E10" s="4" t="n"/>
      <c r="F10" s="15" t="n"/>
      <c r="G10" s="16" t="n"/>
      <c r="H10" s="4" t="n"/>
      <c r="I10" s="4" t="n"/>
      <c r="J10" s="4" t="n"/>
      <c r="K10" s="4" t="n"/>
    </row>
    <row r="11" ht="18" customHeight="1">
      <c r="A11" s="17" t="n"/>
      <c r="B11" s="17" t="n"/>
      <c r="C11" s="17" t="n"/>
      <c r="D11" s="17" t="n"/>
      <c r="E11" s="17" t="n"/>
      <c r="F11" s="18" t="n"/>
      <c r="G11" s="19" t="n"/>
      <c r="H11" s="17" t="n"/>
      <c r="I11" s="17" t="n"/>
      <c r="J11" s="17" t="n"/>
      <c r="K11" s="17" t="n"/>
    </row>
    <row r="12" ht="18" customHeight="1">
      <c r="A12" s="4" t="n"/>
      <c r="B12" s="4" t="n"/>
      <c r="C12" s="4" t="n"/>
      <c r="D12" s="4" t="n"/>
      <c r="E12" s="4" t="n"/>
      <c r="F12" s="15" t="n"/>
      <c r="G12" s="16" t="n"/>
      <c r="H12" s="4" t="n"/>
      <c r="I12" s="4" t="n"/>
      <c r="J12" s="4" t="n"/>
      <c r="K12" s="4" t="n"/>
    </row>
    <row r="13" ht="18" customHeight="1">
      <c r="A13" s="17" t="n"/>
      <c r="B13" s="17" t="n"/>
      <c r="C13" s="17" t="n"/>
      <c r="D13" s="17" t="n"/>
      <c r="E13" s="17" t="n"/>
      <c r="F13" s="18" t="n"/>
      <c r="G13" s="19" t="n"/>
      <c r="H13" s="17" t="n"/>
      <c r="I13" s="17" t="n"/>
      <c r="J13" s="17" t="n"/>
      <c r="K13" s="17" t="n"/>
    </row>
    <row r="14" ht="18" customHeight="1">
      <c r="A14" s="4" t="n"/>
      <c r="B14" s="4" t="n"/>
      <c r="C14" s="4" t="n"/>
      <c r="D14" s="4" t="n"/>
      <c r="E14" s="4" t="n"/>
      <c r="F14" s="15" t="n"/>
      <c r="G14" s="16" t="n"/>
      <c r="H14" s="4" t="n"/>
      <c r="I14" s="4" t="n"/>
      <c r="J14" s="4" t="n"/>
      <c r="K14" s="4" t="n"/>
    </row>
    <row r="15" ht="18" customHeight="1">
      <c r="A15" s="17" t="n"/>
      <c r="B15" s="17" t="n"/>
      <c r="C15" s="17" t="n"/>
      <c r="D15" s="17" t="n"/>
      <c r="E15" s="17" t="n"/>
      <c r="F15" s="18" t="n"/>
      <c r="G15" s="19" t="n"/>
      <c r="H15" s="17" t="n"/>
      <c r="I15" s="17" t="n"/>
      <c r="J15" s="17" t="n"/>
      <c r="K15" s="17" t="n"/>
    </row>
    <row r="16" ht="18" customHeight="1">
      <c r="A16" s="4" t="n"/>
      <c r="B16" s="4" t="n"/>
      <c r="C16" s="4" t="n"/>
      <c r="D16" s="4" t="n"/>
      <c r="E16" s="4" t="n"/>
      <c r="F16" s="15" t="n"/>
      <c r="G16" s="16" t="n"/>
      <c r="H16" s="4" t="n"/>
      <c r="I16" s="4" t="n"/>
      <c r="J16" s="4" t="n"/>
      <c r="K16" s="4" t="n"/>
    </row>
    <row r="17" ht="18" customHeight="1">
      <c r="A17" s="17" t="n"/>
      <c r="B17" s="17" t="n"/>
      <c r="C17" s="17" t="n"/>
      <c r="D17" s="17" t="n"/>
      <c r="E17" s="17" t="n"/>
      <c r="F17" s="18" t="n"/>
      <c r="G17" s="19" t="n"/>
      <c r="H17" s="17" t="n"/>
      <c r="I17" s="17" t="n"/>
      <c r="J17" s="17" t="n"/>
      <c r="K17" s="17" t="n"/>
    </row>
    <row r="18" ht="18" customHeight="1">
      <c r="A18" s="4" t="n"/>
      <c r="B18" s="4" t="n"/>
      <c r="C18" s="4" t="n"/>
      <c r="D18" s="4" t="n"/>
      <c r="E18" s="4" t="n"/>
      <c r="F18" s="15" t="n"/>
      <c r="G18" s="16" t="n"/>
      <c r="H18" s="4" t="n"/>
      <c r="I18" s="4" t="n"/>
      <c r="J18" s="4" t="n"/>
      <c r="K18" s="4" t="n"/>
    </row>
    <row r="19" ht="18" customHeight="1">
      <c r="A19" s="17" t="n"/>
      <c r="B19" s="17" t="n"/>
      <c r="C19" s="17" t="n"/>
      <c r="D19" s="17" t="n"/>
      <c r="E19" s="17" t="n"/>
      <c r="F19" s="18" t="n"/>
      <c r="G19" s="19" t="n"/>
      <c r="H19" s="17" t="n"/>
      <c r="I19" s="17" t="n"/>
      <c r="J19" s="17" t="n"/>
      <c r="K19" s="17" t="n"/>
    </row>
    <row r="20" ht="18" customHeight="1">
      <c r="A20" s="4" t="n"/>
      <c r="B20" s="4" t="n"/>
      <c r="C20" s="4" t="n"/>
      <c r="D20" s="4" t="n"/>
      <c r="E20" s="4" t="n"/>
      <c r="F20" s="15" t="n"/>
      <c r="G20" s="16" t="n"/>
      <c r="H20" s="4" t="n"/>
      <c r="I20" s="4" t="n"/>
      <c r="J20" s="4" t="n"/>
      <c r="K20" s="4" t="n"/>
    </row>
    <row r="21" ht="18" customHeight="1">
      <c r="A21" s="17" t="n"/>
      <c r="B21" s="17" t="n"/>
      <c r="C21" s="17" t="n"/>
      <c r="D21" s="17" t="n"/>
      <c r="E21" s="17" t="n"/>
      <c r="F21" s="18" t="n"/>
      <c r="G21" s="19" t="n"/>
      <c r="H21" s="17" t="n"/>
      <c r="I21" s="17" t="n"/>
      <c r="J21" s="17" t="n"/>
      <c r="K21" s="17" t="n"/>
    </row>
    <row r="22" ht="18" customHeight="1">
      <c r="A22" s="4" t="n"/>
      <c r="B22" s="4" t="n"/>
      <c r="C22" s="4" t="n"/>
      <c r="D22" s="4" t="n"/>
      <c r="E22" s="4" t="n"/>
      <c r="F22" s="15" t="n"/>
      <c r="G22" s="16" t="n"/>
      <c r="H22" s="4" t="n"/>
      <c r="I22" s="4" t="n"/>
      <c r="J22" s="4" t="n"/>
      <c r="K22" s="4" t="n"/>
    </row>
    <row r="23" ht="18" customHeight="1">
      <c r="A23" s="17" t="n"/>
      <c r="B23" s="17" t="n"/>
      <c r="C23" s="17" t="n"/>
      <c r="D23" s="17" t="n"/>
      <c r="E23" s="17" t="n"/>
      <c r="F23" s="18" t="n"/>
      <c r="G23" s="19" t="n"/>
      <c r="H23" s="17" t="n"/>
      <c r="I23" s="17" t="n"/>
      <c r="J23" s="17" t="n"/>
      <c r="K23" s="17" t="n"/>
    </row>
    <row r="24" ht="18" customHeight="1">
      <c r="A24" s="4" t="n"/>
      <c r="B24" s="4" t="n"/>
      <c r="C24" s="4" t="n"/>
      <c r="D24" s="4" t="n"/>
      <c r="E24" s="4" t="n"/>
      <c r="F24" s="15" t="n"/>
      <c r="G24" s="16" t="n"/>
      <c r="H24" s="4" t="n"/>
      <c r="I24" s="4" t="n"/>
      <c r="J24" s="4" t="n"/>
      <c r="K24" s="4" t="n"/>
    </row>
    <row r="25" ht="18" customHeight="1">
      <c r="A25" s="17" t="n"/>
      <c r="B25" s="17" t="n"/>
      <c r="C25" s="17" t="n"/>
      <c r="D25" s="17" t="n"/>
      <c r="E25" s="17" t="n"/>
      <c r="F25" s="18" t="n"/>
      <c r="G25" s="19" t="n"/>
      <c r="H25" s="17" t="n"/>
      <c r="I25" s="17" t="n"/>
      <c r="J25" s="17" t="n"/>
      <c r="K25" s="17" t="n"/>
    </row>
    <row r="26" ht="18" customHeight="1">
      <c r="A26" s="4" t="n"/>
      <c r="B26" s="4" t="n"/>
      <c r="C26" s="4" t="n"/>
      <c r="D26" s="4" t="n"/>
      <c r="E26" s="4" t="n"/>
      <c r="F26" s="15" t="n"/>
      <c r="G26" s="16" t="n"/>
      <c r="H26" s="4" t="n"/>
      <c r="I26" s="4" t="n"/>
      <c r="J26" s="4" t="n"/>
      <c r="K26" s="4" t="n"/>
    </row>
    <row r="27" ht="18" customHeight="1">
      <c r="A27" s="17" t="n"/>
      <c r="B27" s="17" t="n"/>
      <c r="C27" s="17" t="n"/>
      <c r="D27" s="17" t="n"/>
      <c r="E27" s="17" t="n"/>
      <c r="F27" s="18" t="n"/>
      <c r="G27" s="19" t="n"/>
      <c r="H27" s="17" t="n"/>
      <c r="I27" s="17" t="n"/>
      <c r="J27" s="17" t="n"/>
      <c r="K27" s="17" t="n"/>
    </row>
    <row r="28" ht="18" customHeight="1">
      <c r="A28" s="4" t="n"/>
      <c r="B28" s="4" t="n"/>
      <c r="C28" s="4" t="n"/>
      <c r="D28" s="4" t="n"/>
      <c r="E28" s="4" t="n"/>
      <c r="F28" s="15" t="n"/>
      <c r="G28" s="16" t="n"/>
      <c r="H28" s="4" t="n"/>
      <c r="I28" s="4" t="n"/>
      <c r="J28" s="4" t="n"/>
      <c r="K28" s="4" t="n"/>
    </row>
    <row r="29" ht="18" customHeight="1">
      <c r="A29" s="17" t="n"/>
      <c r="B29" s="17" t="n"/>
      <c r="C29" s="17" t="n"/>
      <c r="D29" s="17" t="n"/>
      <c r="E29" s="17" t="n"/>
      <c r="F29" s="18" t="n"/>
      <c r="G29" s="19" t="n"/>
      <c r="H29" s="17" t="n"/>
      <c r="I29" s="17" t="n"/>
      <c r="J29" s="17" t="n"/>
      <c r="K29" s="17" t="n"/>
    </row>
    <row r="30" ht="18" customHeight="1">
      <c r="A30" s="4" t="n"/>
      <c r="B30" s="4" t="n"/>
      <c r="C30" s="4" t="n"/>
      <c r="D30" s="4" t="n"/>
      <c r="E30" s="4" t="n"/>
      <c r="F30" s="15" t="n"/>
      <c r="G30" s="16" t="n"/>
      <c r="H30" s="4" t="n"/>
      <c r="I30" s="4" t="n"/>
      <c r="J30" s="4" t="n"/>
      <c r="K30" s="4" t="n"/>
    </row>
    <row r="31" ht="18" customHeight="1">
      <c r="A31" s="17" t="n"/>
      <c r="B31" s="17" t="n"/>
      <c r="C31" s="17" t="n"/>
      <c r="D31" s="17" t="n"/>
      <c r="E31" s="17" t="n"/>
      <c r="F31" s="18" t="n"/>
      <c r="G31" s="19" t="n"/>
      <c r="H31" s="17" t="n"/>
      <c r="I31" s="17" t="n"/>
      <c r="J31" s="17" t="n"/>
      <c r="K31" s="17" t="n"/>
    </row>
    <row r="32" ht="18" customHeight="1">
      <c r="A32" s="4" t="n"/>
      <c r="B32" s="4" t="n"/>
      <c r="C32" s="4" t="n"/>
      <c r="D32" s="4" t="n"/>
      <c r="E32" s="4" t="n"/>
      <c r="F32" s="15" t="n"/>
      <c r="G32" s="16" t="n"/>
      <c r="H32" s="4" t="n"/>
      <c r="I32" s="4" t="n"/>
      <c r="J32" s="4" t="n"/>
      <c r="K32" s="4" t="n"/>
    </row>
    <row r="33" ht="18" customHeight="1">
      <c r="A33" s="17" t="n"/>
      <c r="B33" s="17" t="n"/>
      <c r="C33" s="17" t="n"/>
      <c r="D33" s="17" t="n"/>
      <c r="E33" s="17" t="n"/>
      <c r="F33" s="18" t="n"/>
      <c r="G33" s="19" t="n"/>
      <c r="H33" s="17" t="n"/>
      <c r="I33" s="17" t="n"/>
      <c r="J33" s="17" t="n"/>
      <c r="K33" s="17" t="n"/>
    </row>
    <row r="34" ht="18" customHeight="1">
      <c r="A34" s="4" t="n"/>
      <c r="B34" s="4" t="n"/>
      <c r="C34" s="4" t="n"/>
      <c r="D34" s="4" t="n"/>
      <c r="E34" s="4" t="n"/>
      <c r="F34" s="15" t="n"/>
      <c r="G34" s="16" t="n"/>
      <c r="H34" s="4" t="n"/>
      <c r="I34" s="4" t="n"/>
      <c r="J34" s="4" t="n"/>
      <c r="K34" s="4" t="n"/>
    </row>
    <row r="35" ht="18" customHeight="1">
      <c r="A35" s="17" t="n"/>
      <c r="B35" s="17" t="n"/>
      <c r="C35" s="17" t="n"/>
      <c r="D35" s="17" t="n"/>
      <c r="E35" s="17" t="n"/>
      <c r="F35" s="18" t="n"/>
      <c r="G35" s="19" t="n"/>
      <c r="H35" s="17" t="n"/>
      <c r="I35" s="17" t="n"/>
      <c r="J35" s="17" t="n"/>
      <c r="K35" s="17" t="n"/>
    </row>
    <row r="36" ht="18" customHeight="1">
      <c r="A36" s="4" t="n"/>
      <c r="B36" s="4" t="n"/>
      <c r="C36" s="4" t="n"/>
      <c r="D36" s="4" t="n"/>
      <c r="E36" s="4" t="n"/>
      <c r="F36" s="15" t="n"/>
      <c r="G36" s="16" t="n"/>
      <c r="H36" s="4" t="n"/>
      <c r="I36" s="4" t="n"/>
      <c r="J36" s="4" t="n"/>
      <c r="K36" s="4" t="n"/>
    </row>
    <row r="37" ht="18" customHeight="1">
      <c r="A37" s="17" t="n"/>
      <c r="B37" s="17" t="n"/>
      <c r="C37" s="17" t="n"/>
      <c r="D37" s="17" t="n"/>
      <c r="E37" s="17" t="n"/>
      <c r="F37" s="18" t="n"/>
      <c r="G37" s="19" t="n"/>
      <c r="H37" s="17" t="n"/>
      <c r="I37" s="17" t="n"/>
      <c r="J37" s="17" t="n"/>
      <c r="K37" s="17" t="n"/>
    </row>
    <row r="38" ht="18" customHeight="1">
      <c r="A38" s="4" t="n"/>
      <c r="B38" s="4" t="n"/>
      <c r="C38" s="4" t="n"/>
      <c r="D38" s="4" t="n"/>
      <c r="E38" s="4" t="n"/>
      <c r="F38" s="15" t="n"/>
      <c r="G38" s="16" t="n"/>
      <c r="H38" s="4" t="n"/>
      <c r="I38" s="4" t="n"/>
      <c r="J38" s="4" t="n"/>
      <c r="K38" s="4" t="n"/>
    </row>
    <row r="39" ht="18" customHeight="1">
      <c r="A39" s="17" t="n"/>
      <c r="B39" s="17" t="n"/>
      <c r="C39" s="17" t="n"/>
      <c r="D39" s="17" t="n"/>
      <c r="E39" s="17" t="n"/>
      <c r="F39" s="18" t="n"/>
      <c r="G39" s="19" t="n"/>
      <c r="H39" s="17" t="n"/>
      <c r="I39" s="17" t="n"/>
      <c r="J39" s="17" t="n"/>
      <c r="K39" s="17" t="n"/>
    </row>
    <row r="40" ht="18" customHeight="1">
      <c r="A40" s="4" t="n"/>
      <c r="B40" s="4" t="n"/>
      <c r="C40" s="4" t="n"/>
      <c r="D40" s="4" t="n"/>
      <c r="E40" s="4" t="n"/>
      <c r="F40" s="15" t="n"/>
      <c r="G40" s="16" t="n"/>
      <c r="H40" s="4" t="n"/>
      <c r="I40" s="4" t="n"/>
      <c r="J40" s="4" t="n"/>
      <c r="K40" s="4" t="n"/>
    </row>
    <row r="41" ht="18" customHeight="1">
      <c r="A41" s="17" t="n"/>
      <c r="B41" s="17" t="n"/>
      <c r="C41" s="17" t="n"/>
      <c r="D41" s="17" t="n"/>
      <c r="E41" s="17" t="n"/>
      <c r="F41" s="18" t="n"/>
      <c r="G41" s="19" t="n"/>
      <c r="H41" s="17" t="n"/>
      <c r="I41" s="17" t="n"/>
      <c r="J41" s="17" t="n"/>
      <c r="K41" s="17" t="n"/>
    </row>
    <row r="42" ht="18" customHeight="1">
      <c r="A42" s="4" t="n"/>
      <c r="B42" s="4" t="n"/>
      <c r="C42" s="4" t="n"/>
      <c r="D42" s="4" t="n"/>
      <c r="E42" s="4" t="n"/>
      <c r="F42" s="15" t="n"/>
      <c r="G42" s="16" t="n"/>
      <c r="H42" s="4" t="n"/>
      <c r="I42" s="4" t="n"/>
      <c r="J42" s="4" t="n"/>
      <c r="K42" s="4" t="n"/>
    </row>
    <row r="43" ht="18" customHeight="1">
      <c r="A43" s="17" t="n"/>
      <c r="B43" s="17" t="n"/>
      <c r="C43" s="17" t="n"/>
      <c r="D43" s="17" t="n"/>
      <c r="E43" s="17" t="n"/>
      <c r="F43" s="18" t="n"/>
      <c r="G43" s="19" t="n"/>
      <c r="H43" s="17" t="n"/>
      <c r="I43" s="17" t="n"/>
      <c r="J43" s="17" t="n"/>
      <c r="K43" s="17" t="n"/>
    </row>
    <row r="45">
      <c r="A45" s="3" t="inlineStr">
        <is>
          <t>Session €$ (this sheet)</t>
        </is>
      </c>
      <c r="C45" s="20">
        <f>SUM(F4:F43)</f>
        <v/>
      </c>
      <c r="E45" s="3" t="inlineStr">
        <is>
          <t>Session IP</t>
        </is>
      </c>
      <c r="F45" s="21">
        <f>SUM(G4:G43)</f>
        <v/>
      </c>
    </row>
    <row r="47">
      <c r="A47" s="10" t="inlineStr">
        <is>
          <t>In-world date, not real-world. Related persons should match CONTACTS handles. Heat = NCPD / corp / gang and a short note.</t>
        </is>
      </c>
    </row>
  </sheetData>
  <autoFilter ref="A3:K43"/>
  <mergeCells count="3">
    <mergeCell ref="A1:K1"/>
    <mergeCell ref="A47:K47"/>
    <mergeCell ref="A45:B45"/>
  </mergeCells>
  <dataValidations count="1">
    <dataValidation sqref="E4:E43" showDropDown="0" showInputMessage="0" showErrorMessage="0" allowBlank="1" errorTitle="Outcome" error="Pick from the list" prompt="Outcome" type="list">
      <formula1>"extracted,paid,burned,unfinished,KIA,fled,other"</formula1>
    </dataValidation>
  </dataValidations>
  <printOptions horizontalCentered="1"/>
  <pageMargins left="0.4" right="0.4" top="0.5" bottom="0.5" header="0.2" footer="0.2"/>
  <pageSetup orientation="landscape" paperSize="9" fitToHeight="1" fitToWidth="1"/>
  <headerFooter>
    <oddHeader/>
    <oddFooter>&amp;LNC//NET STREET FILE  ·  unofficial table aid&amp;R&amp;A  · 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J25"/>
  <sheetViews>
    <sheetView showGridLines="0" view="pageLayout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28" customWidth="1" min="5" max="5"/>
    <col width="22" customWidth="1" min="6" max="6"/>
    <col width="10" customWidth="1" min="7" max="7"/>
    <col width="18" customWidth="1" min="8" max="8"/>
    <col width="18" customWidth="1" min="9" max="9"/>
    <col width="28" customWidth="1" min="10" max="10"/>
  </cols>
  <sheetData>
    <row r="1" ht="28" customHeight="1">
      <c r="A1" s="1" t="inlineStr">
        <is>
          <t xml:space="preserve">  KNOWN ASSOCIATES   ·   CREW FILE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22" t="inlineStr">
        <is>
          <t>Handle</t>
        </is>
      </c>
      <c r="B3" s="22" t="inlineStr">
        <is>
          <t>Real name</t>
        </is>
      </c>
      <c r="C3" s="22" t="inlineStr">
        <is>
          <t>Role</t>
        </is>
      </c>
      <c r="D3" s="22" t="inlineStr">
        <is>
          <t>Relation</t>
        </is>
      </c>
      <c r="E3" s="22" t="inlineStr">
        <is>
          <t>Hook (one line)</t>
        </is>
      </c>
      <c r="F3" s="22" t="inlineStr">
        <is>
          <t>Useful for</t>
        </is>
      </c>
      <c r="G3" s="22" t="inlineStr">
        <is>
          <t>Trust 1–5</t>
        </is>
      </c>
      <c r="H3" s="22" t="inlineStr">
        <is>
          <t>Owed / owing</t>
        </is>
      </c>
      <c r="I3" s="22" t="inlineStr">
        <is>
          <t>Reach (Agent / hangout)</t>
        </is>
      </c>
      <c r="J3" s="22" t="inlineStr">
        <is>
          <t>Notes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</row>
    <row r="6" ht="2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20" customHeight="1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20" customHeight="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20" customHeight="1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20" customHeight="1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20" customHeight="1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20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20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20" customHeight="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</row>
    <row r="25">
      <c r="A25" s="10" t="inlineStr">
        <is>
          <t>Other PCs at the table + recurring NPCs. Dossier page 0 only keeps name-lists; this sheet is the actual cards. Trust 1 = will burn you, 5 = choomba.</t>
        </is>
      </c>
    </row>
  </sheetData>
  <mergeCells count="2">
    <mergeCell ref="A1:J1"/>
    <mergeCell ref="A25:J25"/>
  </mergeCells>
  <dataValidations count="1">
    <dataValidation sqref="D4:D23" showDropDown="0" showInputMessage="0" showErrorMessage="0" allowBlank="1" errorTitle="Relation" error="Pick from the list" prompt="Relation" type="list">
      <formula1>"crew,client,rival,romance,contact,debt,fan,backup,family,corp,other"</formula1>
    </dataValidation>
  </dataValidations>
  <printOptions horizontalCentered="1"/>
  <pageMargins left="0.4" right="0.4" top="0.5" bottom="0.5" header="0.2" footer="0.2"/>
  <pageSetup orientation="landscape" paperSize="9" fitToHeight="1" fitToWidth="1"/>
  <headerFooter>
    <oddHeader/>
    <oddFooter>&amp;LNC//NET STREET FILE  ·  unofficial table aid&amp;R&amp;A  · 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3D7A9A"/>
    <outlinePr summaryBelow="1" summaryRight="1"/>
    <pageSetUpPr fitToPage="1"/>
  </sheetPr>
  <dimension ref="A1:F36"/>
  <sheetViews>
    <sheetView showGridLines="0" view="pageLayout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8" customWidth="1" min="5" max="5"/>
    <col width="28" customWidth="1" min="6" max="6"/>
  </cols>
  <sheetData>
    <row r="1" ht="28" customHeight="1">
      <c r="A1" s="1" t="inlineStr">
        <is>
          <t xml:space="preserve">  NET   ·   INTERFACE / QUICKHACKS</t>
        </is>
      </c>
      <c r="B1" s="2" t="n"/>
      <c r="C1" s="2" t="n"/>
      <c r="D1" s="2" t="n"/>
      <c r="E1" s="2" t="n"/>
      <c r="F1" s="2" t="n"/>
    </row>
    <row r="3">
      <c r="A3" s="3" t="inlineStr">
        <is>
          <t>Cyberdeck</t>
        </is>
      </c>
      <c r="B3" s="4" t="inlineStr"/>
      <c r="C3" s="6" t="n"/>
      <c r="D3" s="3" t="inlineStr">
        <is>
          <t>Interface Rank</t>
        </is>
      </c>
      <c r="E3" s="4" t="inlineStr"/>
    </row>
    <row r="4">
      <c r="A4" s="3" t="inlineStr">
        <is>
          <t>NET Actions / turn</t>
        </is>
      </c>
      <c r="B4" s="23">
        <f>IF(E3="","",IF(E3&lt;=3,2,IF(E3&lt;=6,3,IF(E3&lt;=9,4,5))))</f>
        <v/>
      </c>
      <c r="D4" s="3" t="inlineStr">
        <is>
          <t>Self-ICE / Passwalls</t>
        </is>
      </c>
      <c r="E4" s="4" t="inlineStr"/>
    </row>
    <row r="5">
      <c r="A5" s="3" t="inlineStr">
        <is>
          <t>Neuroport deck port?</t>
        </is>
      </c>
      <c r="B5" s="4" t="inlineStr">
        <is>
          <t>Y</t>
        </is>
      </c>
      <c r="D5" s="3" t="inlineStr">
        <is>
          <t>Ex-Disks</t>
        </is>
      </c>
      <c r="E5" s="4" t="inlineStr"/>
    </row>
    <row r="7">
      <c r="A7" s="24" t="inlineStr">
        <is>
          <t>PROGRAMS  /  HARDWARE</t>
        </is>
      </c>
      <c r="B7" s="25" t="n"/>
      <c r="C7" s="25" t="n"/>
      <c r="D7" s="25" t="n"/>
      <c r="E7" s="25" t="n"/>
      <c r="F7" s="25" t="n"/>
    </row>
    <row r="8">
      <c r="A8" s="26" t="inlineStr">
        <is>
          <t>Name</t>
        </is>
      </c>
      <c r="B8" s="26" t="inlineStr">
        <is>
          <t>Type (Program/HW)</t>
        </is>
      </c>
      <c r="C8" s="26" t="inlineStr">
        <is>
          <t>ATK</t>
        </is>
      </c>
      <c r="D8" s="26" t="inlineStr">
        <is>
          <t>DEF</t>
        </is>
      </c>
      <c r="E8" s="26" t="inlineStr">
        <is>
          <t>Slots / notes</t>
        </is>
      </c>
      <c r="F8" s="26" t="inlineStr">
        <is>
          <t>Installed?</t>
        </is>
      </c>
    </row>
    <row r="9" ht="18" customHeight="1">
      <c r="A9" s="4" t="inlineStr"/>
      <c r="B9" s="4" t="inlineStr"/>
      <c r="C9" s="4" t="inlineStr"/>
      <c r="D9" s="4" t="inlineStr"/>
      <c r="E9" s="4" t="inlineStr"/>
      <c r="F9" s="4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</row>
    <row r="11" ht="18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18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</row>
    <row r="15" ht="18" customHeight="1">
      <c r="A15" s="4" t="inlineStr"/>
      <c r="B15" s="4" t="inlineStr"/>
      <c r="C15" s="4" t="inlineStr"/>
      <c r="D15" s="4" t="inlineStr"/>
      <c r="E15" s="4" t="inlineStr"/>
      <c r="F15" s="4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</row>
    <row r="17" ht="18" customHeight="1">
      <c r="A17" s="4" t="inlineStr"/>
      <c r="B17" s="4" t="inlineStr"/>
      <c r="C17" s="4" t="inlineStr"/>
      <c r="D17" s="4" t="inlineStr"/>
      <c r="E17" s="4" t="inlineStr"/>
      <c r="F17" s="4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</row>
    <row r="19" ht="18" customHeight="1">
      <c r="A19" s="4" t="inlineStr"/>
      <c r="B19" s="4" t="inlineStr"/>
      <c r="C19" s="4" t="inlineStr"/>
      <c r="D19" s="4" t="inlineStr"/>
      <c r="E19" s="4" t="inlineStr"/>
      <c r="F19" s="4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</row>
    <row r="22">
      <c r="A22" s="27" t="inlineStr">
        <is>
          <t>QUICKHACKS  ·  CEMK 2070s  ·  Interface + 1d10 vs DV   (CPR p.197 / CEMK RB p.16–18, 39)</t>
        </is>
      </c>
      <c r="B22" s="8" t="n"/>
      <c r="C22" s="8" t="n"/>
      <c r="D22" s="8" t="n"/>
      <c r="E22" s="8" t="n"/>
      <c r="F22" s="8" t="n"/>
    </row>
    <row r="23">
      <c r="A23" s="22" t="inlineStr">
        <is>
          <t>Quickhack</t>
        </is>
      </c>
      <c r="B23" s="22" t="inlineStr">
        <is>
          <t>DV</t>
        </is>
      </c>
      <c r="C23" s="22" t="inlineStr">
        <is>
          <t>Class</t>
        </is>
      </c>
      <c r="D23" s="22" t="inlineStr">
        <is>
          <t>Effect (short)</t>
        </is>
      </c>
      <c r="E23" s="22" t="inlineStr"/>
      <c r="F23" s="22" t="inlineStr"/>
    </row>
    <row r="24">
      <c r="A24" s="28" t="inlineStr">
        <is>
          <t>Impair Movement</t>
        </is>
      </c>
      <c r="B24" s="29" t="n">
        <v>6</v>
      </c>
      <c r="C24" s="30" t="inlineStr">
        <is>
          <t>Simple</t>
        </is>
      </c>
      <c r="D24" s="30" t="inlineStr">
        <is>
          <t>MOVE −1 for 60s; 0 MOVE = no Move Action</t>
        </is>
      </c>
      <c r="E24" s="30" t="n"/>
      <c r="F24" s="30" t="n"/>
    </row>
    <row r="25">
      <c r="A25" s="31" t="inlineStr">
        <is>
          <t>Sonic Shock</t>
        </is>
      </c>
      <c r="B25" s="32" t="n">
        <v>6</v>
      </c>
      <c r="C25" s="33" t="inlineStr">
        <is>
          <t>Simple</t>
        </is>
      </c>
      <c r="D25" s="33" t="inlineStr">
        <is>
          <t>Damaged Ear crit (no bonus dmg) 60s</t>
        </is>
      </c>
      <c r="E25" s="33" t="n"/>
      <c r="F25" s="33" t="n"/>
    </row>
    <row r="26">
      <c r="A26" s="28" t="inlineStr">
        <is>
          <t>Overheat</t>
        </is>
      </c>
      <c r="B26" s="29" t="n">
        <v>8</v>
      </c>
      <c r="C26" s="30" t="inlineStr">
        <is>
          <t>Standard</t>
        </is>
      </c>
      <c r="D26" s="30" t="inlineStr">
        <is>
          <t>On fire: 4 HP at end of their Turn, bypass SP</t>
        </is>
      </c>
      <c r="E26" s="30" t="n"/>
      <c r="F26" s="30" t="n"/>
    </row>
    <row r="27">
      <c r="A27" s="31" t="inlineStr">
        <is>
          <t>Short Circuit</t>
        </is>
      </c>
      <c r="B27" s="32" t="n">
        <v>8</v>
      </c>
      <c r="C27" s="33" t="inlineStr">
        <is>
          <t>Standard</t>
        </is>
      </c>
      <c r="D27" s="33" t="inlineStr">
        <is>
          <t>GM picks 3 chrome pieces offline 60s</t>
        </is>
      </c>
      <c r="E27" s="33" t="n"/>
      <c r="F27" s="33" t="n"/>
    </row>
    <row r="28">
      <c r="A28" s="28" t="inlineStr">
        <is>
          <t>Cyberware Malfunction</t>
        </is>
      </c>
      <c r="B28" s="29" t="n">
        <v>10</v>
      </c>
      <c r="C28" s="30" t="inlineStr">
        <is>
          <t>Difficult</t>
        </is>
      </c>
      <c r="D28" s="30" t="inlineStr">
        <is>
          <t>You pick 1 chrome offline 60s (not Neuroport)</t>
        </is>
      </c>
      <c r="E28" s="30" t="n"/>
      <c r="F28" s="30" t="n"/>
    </row>
    <row r="29">
      <c r="A29" s="31" t="inlineStr">
        <is>
          <t>Lure</t>
        </is>
      </c>
      <c r="B29" s="32" t="n">
        <v>10</v>
      </c>
      <c r="C29" s="33" t="inlineStr">
        <is>
          <t>Difficult</t>
        </is>
      </c>
      <c r="D29" s="33" t="inlineStr">
        <is>
          <t>Force their next Move; only if unaware</t>
        </is>
      </c>
      <c r="E29" s="33" t="n"/>
      <c r="F29" s="33" t="n"/>
    </row>
    <row r="30">
      <c r="A30" s="28" t="inlineStr">
        <is>
          <t>Slow</t>
        </is>
      </c>
      <c r="B30" s="29" t="n">
        <v>10</v>
      </c>
      <c r="C30" s="30" t="inlineStr">
        <is>
          <t>Difficult</t>
        </is>
      </c>
      <c r="D30" s="30" t="inlineStr">
        <is>
          <t>MOVE −1d6 for 60s</t>
        </is>
      </c>
      <c r="E30" s="30" t="n"/>
      <c r="F30" s="30" t="n"/>
    </row>
    <row r="31">
      <c r="A31" s="31" t="inlineStr">
        <is>
          <t>Synapse Burnout</t>
        </is>
      </c>
      <c r="B31" s="32" t="n">
        <v>10</v>
      </c>
      <c r="C31" s="33" t="inlineStr">
        <is>
          <t>Difficult</t>
        </is>
      </c>
      <c r="D31" s="33" t="inlineStr">
        <is>
          <t>3d6 HP, bypass armor, no ablation</t>
        </is>
      </c>
      <c r="E31" s="33" t="n"/>
      <c r="F31" s="33" t="n"/>
    </row>
    <row r="32">
      <c r="A32" s="28" t="inlineStr">
        <is>
          <t>Puppet</t>
        </is>
      </c>
      <c r="B32" s="29" t="n">
        <v>12</v>
      </c>
      <c r="C32" s="30" t="inlineStr">
        <is>
          <t>Advanced</t>
        </is>
      </c>
      <c r="D32" s="30" t="inlineStr">
        <is>
          <t>You spend their next Action + Move</t>
        </is>
      </c>
      <c r="E32" s="30" t="n"/>
      <c r="F32" s="30" t="n"/>
    </row>
    <row r="33">
      <c r="A33" s="31" t="inlineStr">
        <is>
          <t>Shard Ejection</t>
        </is>
      </c>
      <c r="B33" s="32" t="n">
        <v>12</v>
      </c>
      <c r="C33" s="33" t="inlineStr">
        <is>
          <t>Advanced</t>
        </is>
      </c>
      <c r="D33" s="33" t="inlineStr">
        <is>
          <t>Eject 1 chipware into adjacent square</t>
        </is>
      </c>
      <c r="E33" s="33" t="n"/>
      <c r="F33" s="33" t="n"/>
    </row>
    <row r="34">
      <c r="A34" s="28" t="inlineStr">
        <is>
          <t>System Reset</t>
        </is>
      </c>
      <c r="B34" s="29" t="n">
        <v>12</v>
      </c>
      <c r="C34" s="30" t="inlineStr">
        <is>
          <t>Advanced</t>
        </is>
      </c>
      <c r="D34" s="30" t="inlineStr">
        <is>
          <t>Unconscious 60s or until damaged; Prone</t>
        </is>
      </c>
      <c r="E34" s="30" t="n"/>
      <c r="F34" s="30" t="n"/>
    </row>
    <row r="36" ht="32" customHeight="1">
      <c r="A36" s="10" t="inlineStr">
        <is>
          <t>Jack In: Interface + 1d10 vs target WILL + 1d10, 50 m, target must have a Neuroport. Failure still jacks in but they know. Eject: WILL + Concentration + 1d10 vs Interface + 1d10.</t>
        </is>
      </c>
    </row>
  </sheetData>
  <mergeCells count="16">
    <mergeCell ref="D28:F28"/>
    <mergeCell ref="D29:F29"/>
    <mergeCell ref="D27:F27"/>
    <mergeCell ref="A36:F36"/>
    <mergeCell ref="B3:C3"/>
    <mergeCell ref="D31:F31"/>
    <mergeCell ref="A1:F1"/>
    <mergeCell ref="D32:F32"/>
    <mergeCell ref="D34:F34"/>
    <mergeCell ref="A22:F22"/>
    <mergeCell ref="D26:F26"/>
    <mergeCell ref="D30:F30"/>
    <mergeCell ref="D25:F25"/>
    <mergeCell ref="D33:F33"/>
    <mergeCell ref="A7:F7"/>
    <mergeCell ref="D24:F24"/>
  </mergeCells>
  <printOptions horizontalCentered="1"/>
  <pageMargins left="0.4" right="0.4" top="0.5" bottom="0.5" header="0.2" footer="0.2"/>
  <pageSetup orientation="portrait" paperSize="9" fitToHeight="1" fitToWidth="1"/>
  <headerFooter>
    <oddHeader/>
    <oddFooter>&amp;LNC//NET STREET FILE  ·  unofficial table aid&amp;R&amp;A  · 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6B5A3A"/>
    <outlinePr summaryBelow="1" summaryRight="1"/>
    <pageSetUpPr fitToPage="1"/>
  </sheetPr>
  <dimension ref="A1:J16"/>
  <sheetViews>
    <sheetView showGridLines="0" view="pageLayout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28" customWidth="1" min="9" max="9"/>
    <col width="14" customWidth="1" min="10" max="10"/>
  </cols>
  <sheetData>
    <row r="1" ht="28" customHeight="1">
      <c r="A1" s="1" t="inlineStr">
        <is>
          <t xml:space="preserve">  GARAGE   ·   MOTO / FAMILY MOTORPOOL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3" t="inlineStr">
        <is>
          <t>Moto Rank</t>
        </is>
      </c>
      <c r="B3" s="4" t="inlineStr"/>
      <c r="C3" s="3" t="inlineStr">
        <is>
          <t>Pack / Family</t>
        </is>
      </c>
      <c r="D3" s="4" t="inlineStr"/>
      <c r="E3" s="5" t="n"/>
      <c r="F3" s="6" t="n"/>
    </row>
    <row r="4">
      <c r="A4" s="10" t="inlineStr">
        <is>
          <t>Moto Rank adds to Drive/Pilot and Vehicle Tech checks. Only one Family Vehicle out at a time (all of them at Rank 10). CPR p.161–164.</t>
        </is>
      </c>
    </row>
    <row r="6">
      <c r="A6" s="22" t="inlineStr">
        <is>
          <t>Vehicle</t>
        </is>
      </c>
      <c r="B6" s="22" t="inlineStr">
        <is>
          <t>Type</t>
        </is>
      </c>
      <c r="C6" s="22" t="inlineStr">
        <is>
          <t>MOVE</t>
        </is>
      </c>
      <c r="D6" s="22" t="inlineStr">
        <is>
          <t>SDP</t>
        </is>
      </c>
      <c r="E6" s="22" t="inlineStr">
        <is>
          <t>SP</t>
        </is>
      </c>
      <c r="F6" s="22" t="inlineStr">
        <is>
          <t>Seats</t>
        </is>
      </c>
      <c r="G6" s="22" t="inlineStr">
        <is>
          <t>Out now?</t>
        </is>
      </c>
      <c r="H6" s="22" t="inlineStr">
        <is>
          <t>Moto rank req.</t>
        </is>
      </c>
      <c r="I6" s="22" t="inlineStr">
        <is>
          <t>Upgrades</t>
        </is>
      </c>
      <c r="J6" s="22" t="inlineStr">
        <is>
          <t>Notes</t>
        </is>
      </c>
    </row>
    <row r="7" ht="20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 ht="2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20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2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20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20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20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 ht="20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20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 ht="20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</sheetData>
  <mergeCells count="3">
    <mergeCell ref="A1:J1"/>
    <mergeCell ref="D3:F3"/>
    <mergeCell ref="A4:J4"/>
  </mergeCells>
  <printOptions horizontalCentered="1"/>
  <pageMargins left="0.4" right="0.4" top="0.5" bottom="0.5" header="0.2" footer="0.2"/>
  <pageSetup orientation="landscape" paperSize="9" fitToHeight="1" fitToWidth="1"/>
  <headerFooter>
    <oddHeader/>
    <oddFooter>&amp;LNC//NET STREET FILE  ·  unofficial table aid&amp;R&amp;A  · 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4A6B4A"/>
    <outlinePr summaryBelow="1" summaryRight="1"/>
    <pageSetUpPr fitToPage="1"/>
  </sheetPr>
  <dimension ref="A1:F25"/>
  <sheetViews>
    <sheetView showGridLines="0" view="pageLayout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6" customWidth="1" min="5" max="5"/>
    <col width="30" customWidth="1" min="6" max="6"/>
  </cols>
  <sheetData>
    <row r="1" ht="28" customHeight="1">
      <c r="A1" s="1" t="inlineStr">
        <is>
          <t xml:space="preserve">  WORKSHOP   ·   MAKER</t>
        </is>
      </c>
      <c r="B1" s="2" t="n"/>
      <c r="C1" s="2" t="n"/>
      <c r="D1" s="2" t="n"/>
      <c r="E1" s="2" t="n"/>
      <c r="F1" s="2" t="n"/>
    </row>
    <row r="3">
      <c r="A3" s="3" t="inlineStr">
        <is>
          <t>Field Expertise</t>
        </is>
      </c>
      <c r="B3" s="4" t="n">
        <v>0</v>
      </c>
      <c r="C3" s="34" t="inlineStr">
        <is>
          <t>Rank</t>
        </is>
      </c>
    </row>
    <row r="4">
      <c r="A4" s="3" t="inlineStr">
        <is>
          <t>Upgrade Expertise</t>
        </is>
      </c>
      <c r="B4" s="4" t="n">
        <v>0</v>
      </c>
      <c r="C4" s="34" t="inlineStr">
        <is>
          <t>Rank</t>
        </is>
      </c>
    </row>
    <row r="5">
      <c r="A5" s="3" t="inlineStr">
        <is>
          <t>Fabrication Expertise</t>
        </is>
      </c>
      <c r="B5" s="4" t="n">
        <v>0</v>
      </c>
      <c r="C5" s="34" t="inlineStr">
        <is>
          <t>Rank</t>
        </is>
      </c>
    </row>
    <row r="6">
      <c r="A6" s="3" t="inlineStr">
        <is>
          <t>Invention Expertise</t>
        </is>
      </c>
      <c r="B6" s="4" t="n">
        <v>0</v>
      </c>
      <c r="C6" s="34" t="inlineStr">
        <is>
          <t>Rank</t>
        </is>
      </c>
    </row>
    <row r="7">
      <c r="A7" s="3" t="inlineStr">
        <is>
          <t>Maker Rank (Role)</t>
        </is>
      </c>
      <c r="B7" s="4" t="inlineStr"/>
    </row>
    <row r="8">
      <c r="A8" s="10" t="inlineStr">
        <is>
          <t>Each Maker Rank: +1 to two different specialties. Field Expertise also jury-rigs as an Action. CPR p.147–149.</t>
        </is>
      </c>
    </row>
    <row r="10">
      <c r="A10" s="24" t="inlineStr">
        <is>
          <t>JOBS  ·  repairs, upgrades, inventions</t>
        </is>
      </c>
      <c r="B10" s="25" t="n"/>
      <c r="C10" s="25" t="n"/>
      <c r="D10" s="25" t="n"/>
      <c r="E10" s="25" t="n"/>
      <c r="F10" s="25" t="n"/>
    </row>
    <row r="11">
      <c r="A11" s="26" t="inlineStr">
        <is>
          <t>Item / invention</t>
        </is>
      </c>
      <c r="B11" s="26" t="inlineStr">
        <is>
          <t>Specialty</t>
        </is>
      </c>
      <c r="C11" s="26" t="inlineStr">
        <is>
          <t>Price cat.</t>
        </is>
      </c>
      <c r="D11" s="26" t="inlineStr">
        <is>
          <t>DV</t>
        </is>
      </c>
      <c r="E11" s="26" t="inlineStr">
        <is>
          <t>Time</t>
        </is>
      </c>
      <c r="F11" s="26" t="inlineStr">
        <is>
          <t>Notes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</row>
    <row r="25" ht="32" customHeight="1">
      <c r="A25" s="10" t="inlineStr">
        <is>
          <t>Upgrade/Fabricate/Invent DV by price: Cheap 9 / 1h · Costly 13 / 6h · Premium 17 / 1d · Expensive 21 / 1w · V.Exp 24 / 2w · Luxury 29 / 1mo · Super Luxury 29 / 1mo per 10,000eb.</t>
        </is>
      </c>
    </row>
  </sheetData>
  <mergeCells count="4">
    <mergeCell ref="A8:F8"/>
    <mergeCell ref="A1:F1"/>
    <mergeCell ref="A25:F25"/>
    <mergeCell ref="A10:F10"/>
  </mergeCells>
  <printOptions horizontalCentered="1"/>
  <pageMargins left="0.4" right="0.4" top="0.5" bottom="0.5" header="0.2" footer="0.2"/>
  <pageSetup orientation="portrait" paperSize="9" fitToHeight="1" fitToWidth="1"/>
  <headerFooter>
    <oddHeader/>
    <oddFooter>&amp;LNC//NET STREET FILE  ·  unofficial table aid&amp;R&amp;A  ·  &amp;P/&amp;N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9B1B2E"/>
    <outlinePr summaryBelow="1" summaryRight="1"/>
    <pageSetUpPr fitToPage="1"/>
  </sheetPr>
  <dimension ref="A1:F22"/>
  <sheetViews>
    <sheetView showGridLines="0" view="pageLayout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28" customHeight="1">
      <c r="A1" s="13" t="inlineStr">
        <is>
          <t xml:space="preserve">  CLINIC   ·   MEDICINE</t>
        </is>
      </c>
      <c r="B1" s="8" t="n"/>
      <c r="C1" s="8" t="n"/>
      <c r="D1" s="8" t="n"/>
      <c r="E1" s="8" t="n"/>
      <c r="F1" s="8" t="n"/>
    </row>
    <row r="3">
      <c r="A3" s="3" t="inlineStr">
        <is>
          <t>Surgery (skill = 2× pts)</t>
        </is>
      </c>
      <c r="B3" s="4" t="n">
        <v>0</v>
      </c>
    </row>
    <row r="4">
      <c r="A4" s="3" t="inlineStr">
        <is>
          <t>Medical Tech — Pharma</t>
        </is>
      </c>
      <c r="B4" s="4" t="n">
        <v>0</v>
      </c>
    </row>
    <row r="5">
      <c r="A5" s="3" t="inlineStr">
        <is>
          <t>Medical Tech — Cryo</t>
        </is>
      </c>
      <c r="B5" s="4" t="n">
        <v>0</v>
      </c>
    </row>
    <row r="6">
      <c r="A6" s="3" t="inlineStr">
        <is>
          <t>Medicine Rank (Role)</t>
        </is>
      </c>
      <c r="B6" s="4" t="inlineStr"/>
    </row>
    <row r="7">
      <c r="A7" s="10" t="inlineStr">
        <is>
          <t>Each Medicine Rank: +1 to one specialty. Surgery Skill = 2 per point (max 10). Installation, harvesting, bodysculpt, therapy: CPR p.149, 226.</t>
        </is>
      </c>
    </row>
    <row r="9">
      <c r="A9" s="27" t="inlineStr">
        <is>
          <t>PATIENTS  /  THERAPY  /  PHARMA</t>
        </is>
      </c>
      <c r="B9" s="8" t="n"/>
      <c r="C9" s="8" t="n"/>
      <c r="D9" s="8" t="n"/>
      <c r="E9" s="8" t="n"/>
      <c r="F9" s="8" t="n"/>
    </row>
    <row r="10">
      <c r="A10" s="22" t="inlineStr">
        <is>
          <t>Who / what</t>
        </is>
      </c>
      <c r="B10" s="22" t="inlineStr">
        <is>
          <t>Procedure</t>
        </is>
      </c>
      <c r="C10" s="22" t="inlineStr">
        <is>
          <t>HL recovered</t>
        </is>
      </c>
      <c r="D10" s="22" t="inlineStr">
        <is>
          <t>eb</t>
        </is>
      </c>
      <c r="E10" s="22" t="inlineStr">
        <is>
          <t>Date</t>
        </is>
      </c>
      <c r="F10" s="22" t="inlineStr">
        <is>
          <t>Notes</t>
        </is>
      </c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</row>
  </sheetData>
  <mergeCells count="3">
    <mergeCell ref="A1:F1"/>
    <mergeCell ref="A7:F7"/>
    <mergeCell ref="A9:F9"/>
  </mergeCells>
  <printOptions horizontalCentered="1"/>
  <pageMargins left="0.4" right="0.4" top="0.5" bottom="0.5" header="0.2" footer="0.2"/>
  <pageSetup orientation="portrait" paperSize="9" fitToHeight="1" fitToWidth="1"/>
  <headerFooter>
    <oddHeader/>
    <oddFooter>&amp;LNC//NET STREET FILE  ·  unofficial table aid&amp;R&amp;A  ·  &amp;P/&amp;N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F4A6E"/>
    <outlinePr summaryBelow="1" summaryRight="1"/>
    <pageSetUpPr fitToPage="1"/>
  </sheetPr>
  <dimension ref="A1:L12"/>
  <sheetViews>
    <sheetView showGridLines="0" view="pageLayout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22" customWidth="1" min="11" max="11"/>
    <col width="18" customWidth="1" min="12" max="12"/>
  </cols>
  <sheetData>
    <row r="1" ht="28" customHeight="1">
      <c r="A1" s="1" t="inlineStr">
        <is>
          <t xml:space="preserve">  TEAM   ·   EXEC TEAMWORK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" t="inlineStr">
        <is>
          <t>Teamwork Rank</t>
        </is>
      </c>
      <c r="B3" s="4" t="inlineStr"/>
      <c r="C3" s="3" t="inlineStr">
        <is>
          <t>Corp / cover</t>
        </is>
      </c>
      <c r="D3" s="4" t="inlineStr"/>
      <c r="E3" s="5" t="n"/>
      <c r="F3" s="6" t="n"/>
    </row>
    <row r="4">
      <c r="A4" s="10" t="inlineStr">
        <is>
          <t>Exec team members are mechanical NPCs, not just CONTACTS. Use cover job / true job. CPR p.153–157 for who you get at each Rank.</t>
        </is>
      </c>
    </row>
    <row r="6">
      <c r="A6" s="22" t="inlineStr">
        <is>
          <t>Handle</t>
        </is>
      </c>
      <c r="B6" s="22" t="inlineStr">
        <is>
          <t>Cover job</t>
        </is>
      </c>
      <c r="C6" s="22" t="inlineStr">
        <is>
          <t>True job</t>
        </is>
      </c>
      <c r="D6" s="22" t="inlineStr">
        <is>
          <t>HP</t>
        </is>
      </c>
      <c r="E6" s="22" t="inlineStr">
        <is>
          <t>SP</t>
        </is>
      </c>
      <c r="F6" s="22" t="inlineStr">
        <is>
          <t>INT</t>
        </is>
      </c>
      <c r="G6" s="22" t="inlineStr">
        <is>
          <t>REF</t>
        </is>
      </c>
      <c r="H6" s="22" t="inlineStr">
        <is>
          <t>DEX</t>
        </is>
      </c>
      <c r="I6" s="22" t="inlineStr">
        <is>
          <t>COOL</t>
        </is>
      </c>
      <c r="J6" s="22" t="inlineStr">
        <is>
          <t>MOVE</t>
        </is>
      </c>
      <c r="K6" s="22" t="inlineStr">
        <is>
          <t>Gear / chrome</t>
        </is>
      </c>
      <c r="L6" s="22" t="inlineStr">
        <is>
          <t>Notes</t>
        </is>
      </c>
    </row>
    <row r="7" ht="20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 ht="2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 ht="20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 ht="2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 ht="20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 ht="20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</sheetData>
  <mergeCells count="3">
    <mergeCell ref="D3:F3"/>
    <mergeCell ref="A1:L1"/>
    <mergeCell ref="A4:L4"/>
  </mergeCells>
  <printOptions horizontalCentered="1"/>
  <pageMargins left="0.4" right="0.4" top="0.5" bottom="0.5" header="0.2" footer="0.2"/>
  <pageSetup orientation="landscape" paperSize="9" fitToHeight="1" fitToWidth="1"/>
  <headerFooter>
    <oddHeader/>
    <oddFooter>&amp;LNC//NET STREET FILE  ·  unofficial table aid&amp;R&amp;A  · 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C3338"/>
    <outlinePr summaryBelow="1" summaryRight="1"/>
    <pageSetUpPr fitToPage="1"/>
  </sheetPr>
  <dimension ref="A1:F25"/>
  <sheetViews>
    <sheetView showGridLines="0" view="pageLayout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4" customWidth="1" min="4" max="4"/>
    <col width="14" customWidth="1" min="5" max="5"/>
    <col width="30" customWidth="1" min="6" max="6"/>
  </cols>
  <sheetData>
    <row r="1" ht="28" customHeight="1">
      <c r="A1" s="35" t="inlineStr">
        <is>
          <t xml:space="preserve">  WISHLIST   ·   NIGHT MARKET</t>
        </is>
      </c>
      <c r="B1" s="25" t="n"/>
      <c r="C1" s="25" t="n"/>
      <c r="D1" s="25" t="n"/>
      <c r="E1" s="25" t="n"/>
      <c r="F1" s="25" t="n"/>
    </row>
    <row r="3">
      <c r="A3" s="26" t="inlineStr">
        <is>
          <t>Item</t>
        </is>
      </c>
      <c r="B3" s="26" t="inlineStr">
        <is>
          <t>Category</t>
        </is>
      </c>
      <c r="C3" s="26" t="inlineStr">
        <is>
          <t>Price cat.</t>
        </is>
      </c>
      <c r="D3" s="26" t="inlineStr">
        <is>
          <t>eb</t>
        </is>
      </c>
      <c r="E3" s="26" t="inlineStr">
        <is>
          <t>Source / Fixer</t>
        </is>
      </c>
      <c r="F3" s="26" t="inlineStr">
        <is>
          <t>Notes</t>
        </is>
      </c>
    </row>
    <row r="4">
      <c r="A4" s="4" t="inlineStr"/>
      <c r="B4" s="4" t="inlineStr"/>
      <c r="C4" s="4" t="inlineStr"/>
      <c r="D4" s="15" t="inlineStr"/>
      <c r="E4" s="4" t="inlineStr"/>
      <c r="F4" s="4" t="inlineStr"/>
    </row>
    <row r="5">
      <c r="A5" s="4" t="inlineStr"/>
      <c r="B5" s="4" t="inlineStr"/>
      <c r="C5" s="4" t="inlineStr"/>
      <c r="D5" s="15" t="inlineStr"/>
      <c r="E5" s="4" t="inlineStr"/>
      <c r="F5" s="4" t="inlineStr"/>
    </row>
    <row r="6">
      <c r="A6" s="4" t="inlineStr"/>
      <c r="B6" s="4" t="inlineStr"/>
      <c r="C6" s="4" t="inlineStr"/>
      <c r="D6" s="15" t="inlineStr"/>
      <c r="E6" s="4" t="inlineStr"/>
      <c r="F6" s="4" t="inlineStr"/>
    </row>
    <row r="7">
      <c r="A7" s="4" t="inlineStr"/>
      <c r="B7" s="4" t="inlineStr"/>
      <c r="C7" s="4" t="inlineStr"/>
      <c r="D7" s="15" t="inlineStr"/>
      <c r="E7" s="4" t="inlineStr"/>
      <c r="F7" s="4" t="inlineStr"/>
    </row>
    <row r="8">
      <c r="A8" s="4" t="inlineStr"/>
      <c r="B8" s="4" t="inlineStr"/>
      <c r="C8" s="4" t="inlineStr"/>
      <c r="D8" s="15" t="inlineStr"/>
      <c r="E8" s="4" t="inlineStr"/>
      <c r="F8" s="4" t="inlineStr"/>
    </row>
    <row r="9">
      <c r="A9" s="4" t="inlineStr"/>
      <c r="B9" s="4" t="inlineStr"/>
      <c r="C9" s="4" t="inlineStr"/>
      <c r="D9" s="15" t="inlineStr"/>
      <c r="E9" s="4" t="inlineStr"/>
      <c r="F9" s="4" t="inlineStr"/>
    </row>
    <row r="10">
      <c r="A10" s="4" t="inlineStr"/>
      <c r="B10" s="4" t="inlineStr"/>
      <c r="C10" s="4" t="inlineStr"/>
      <c r="D10" s="15" t="inlineStr"/>
      <c r="E10" s="4" t="inlineStr"/>
      <c r="F10" s="4" t="inlineStr"/>
    </row>
    <row r="11">
      <c r="A11" s="4" t="inlineStr"/>
      <c r="B11" s="4" t="inlineStr"/>
      <c r="C11" s="4" t="inlineStr"/>
      <c r="D11" s="15" t="inlineStr"/>
      <c r="E11" s="4" t="inlineStr"/>
      <c r="F11" s="4" t="inlineStr"/>
    </row>
    <row r="12">
      <c r="A12" s="4" t="inlineStr"/>
      <c r="B12" s="4" t="inlineStr"/>
      <c r="C12" s="4" t="inlineStr"/>
      <c r="D12" s="15" t="inlineStr"/>
      <c r="E12" s="4" t="inlineStr"/>
      <c r="F12" s="4" t="inlineStr"/>
    </row>
    <row r="13">
      <c r="A13" s="4" t="inlineStr"/>
      <c r="B13" s="4" t="inlineStr"/>
      <c r="C13" s="4" t="inlineStr"/>
      <c r="D13" s="15" t="inlineStr"/>
      <c r="E13" s="4" t="inlineStr"/>
      <c r="F13" s="4" t="inlineStr"/>
    </row>
    <row r="14">
      <c r="A14" s="4" t="inlineStr"/>
      <c r="B14" s="4" t="inlineStr"/>
      <c r="C14" s="4" t="inlineStr"/>
      <c r="D14" s="15" t="inlineStr"/>
      <c r="E14" s="4" t="inlineStr"/>
      <c r="F14" s="4" t="inlineStr"/>
    </row>
    <row r="15">
      <c r="A15" s="4" t="inlineStr"/>
      <c r="B15" s="4" t="inlineStr"/>
      <c r="C15" s="4" t="inlineStr"/>
      <c r="D15" s="15" t="inlineStr"/>
      <c r="E15" s="4" t="inlineStr"/>
      <c r="F15" s="4" t="inlineStr"/>
    </row>
    <row r="16">
      <c r="A16" s="4" t="inlineStr"/>
      <c r="B16" s="4" t="inlineStr"/>
      <c r="C16" s="4" t="inlineStr"/>
      <c r="D16" s="15" t="inlineStr"/>
      <c r="E16" s="4" t="inlineStr"/>
      <c r="F16" s="4" t="inlineStr"/>
    </row>
    <row r="17">
      <c r="A17" s="4" t="inlineStr"/>
      <c r="B17" s="4" t="inlineStr"/>
      <c r="C17" s="4" t="inlineStr"/>
      <c r="D17" s="15" t="inlineStr"/>
      <c r="E17" s="4" t="inlineStr"/>
      <c r="F17" s="4" t="inlineStr"/>
    </row>
    <row r="18">
      <c r="A18" s="4" t="inlineStr"/>
      <c r="B18" s="4" t="inlineStr"/>
      <c r="C18" s="4" t="inlineStr"/>
      <c r="D18" s="15" t="inlineStr"/>
      <c r="E18" s="4" t="inlineStr"/>
      <c r="F18" s="4" t="inlineStr"/>
    </row>
    <row r="19">
      <c r="A19" s="4" t="inlineStr"/>
      <c r="B19" s="4" t="inlineStr"/>
      <c r="C19" s="4" t="inlineStr"/>
      <c r="D19" s="15" t="inlineStr"/>
      <c r="E19" s="4" t="inlineStr"/>
      <c r="F19" s="4" t="inlineStr"/>
    </row>
    <row r="20">
      <c r="A20" s="4" t="inlineStr"/>
      <c r="B20" s="4" t="inlineStr"/>
      <c r="C20" s="4" t="inlineStr"/>
      <c r="D20" s="15" t="inlineStr"/>
      <c r="E20" s="4" t="inlineStr"/>
      <c r="F20" s="4" t="inlineStr"/>
    </row>
    <row r="21">
      <c r="A21" s="4" t="inlineStr"/>
      <c r="B21" s="4" t="inlineStr"/>
      <c r="C21" s="4" t="inlineStr"/>
      <c r="D21" s="15" t="inlineStr"/>
      <c r="E21" s="4" t="inlineStr"/>
      <c r="F21" s="4" t="inlineStr"/>
    </row>
    <row r="22">
      <c r="A22" s="4" t="inlineStr"/>
      <c r="B22" s="4" t="inlineStr"/>
      <c r="C22" s="4" t="inlineStr"/>
      <c r="D22" s="15" t="inlineStr"/>
      <c r="E22" s="4" t="inlineStr"/>
      <c r="F22" s="4" t="inlineStr"/>
    </row>
    <row r="23">
      <c r="A23" s="4" t="inlineStr"/>
      <c r="B23" s="4" t="inlineStr"/>
      <c r="C23" s="4" t="inlineStr"/>
      <c r="D23" s="15" t="inlineStr"/>
      <c r="E23" s="4" t="inlineStr"/>
      <c r="F23" s="4" t="inlineStr"/>
    </row>
    <row r="25">
      <c r="A25" s="10" t="inlineStr">
        <is>
          <t>Price categories (CPR p.385): Cheap 10 · Everyday 20 · Costly 50 · Premium 100 · Expensive 500 · Very Expensive 1,000 · Luxury 5,000 · Super Luxury 10,000+.</t>
        </is>
      </c>
    </row>
  </sheetData>
  <mergeCells count="2">
    <mergeCell ref="A1:F1"/>
    <mergeCell ref="A25:F25"/>
  </mergeCells>
  <dataValidations count="1">
    <dataValidation sqref="C4:C23" showDropDown="0" showInputMessage="0" showErrorMessage="0" allowBlank="1" errorTitle="Price" error="Pick from the list" prompt="Price" type="list">
      <formula1>"Cheap,Everyday,Costly,Premium,Expensive,Very Expensive,Luxury,Super Luxury"</formula1>
    </dataValidation>
  </dataValidations>
  <printOptions horizontalCentered="1"/>
  <pageMargins left="0.4" right="0.4" top="0.5" bottom="0.5" header="0.2" footer="0.2"/>
  <pageSetup orientation="portrait" paperSize="9" fitToHeight="1" fitToWidth="1"/>
  <headerFooter>
    <oddHeader/>
    <oddFooter>&amp;LNC//NET STREET FILE  ·  unofficial table aid&amp;R&amp;A  ·  &amp;P/&amp;N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D24"/>
  <sheetViews>
    <sheetView showGridLines="0" view="pageLayout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8" customWidth="1" min="3" max="3"/>
    <col width="18" customWidth="1" min="4" max="4"/>
  </cols>
  <sheetData>
    <row r="1" ht="28" customHeight="1">
      <c r="A1" s="1" t="inlineStr">
        <is>
          <t xml:space="preserve">  REF  ·  COMBAT  ·  CPR p.127–176, 186</t>
        </is>
      </c>
      <c r="B1" s="2" t="n"/>
      <c r="C1" s="2" t="n"/>
      <c r="D1" s="2" t="n"/>
    </row>
    <row r="3" ht="28" customHeight="1">
      <c r="A3" s="10" t="inlineStr">
        <is>
          <t>Turn = 1 Move Action + 1 other Action. Round ≈ 3 seconds. Initiative = REF + 1d10. Move = MOVE × 2 m (or MOVE squares, diagonals OK).</t>
        </is>
      </c>
    </row>
    <row r="4">
      <c r="A4" s="22" t="inlineStr">
        <is>
          <t>Action</t>
        </is>
      </c>
      <c r="B4" s="22" t="inlineStr">
        <is>
          <t>What it does</t>
        </is>
      </c>
      <c r="C4" s="22" t="inlineStr">
        <is>
          <t>Notes</t>
        </is>
      </c>
      <c r="D4" s="22" t="inlineStr">
        <is>
          <t>CPR</t>
        </is>
      </c>
    </row>
    <row r="5" ht="28" customHeight="1">
      <c r="A5" s="36" t="inlineStr">
        <is>
          <t>Move Action</t>
        </is>
      </c>
      <c r="B5" s="4" t="inlineStr">
        <is>
          <t>MOVE × 2 m / MOVE squares</t>
        </is>
      </c>
      <c r="C5" s="37" t="inlineStr">
        <is>
          <t>Every round, free</t>
        </is>
      </c>
      <c r="D5" s="38" t="inlineStr">
        <is>
          <t>127</t>
        </is>
      </c>
    </row>
    <row r="6" ht="28" customHeight="1">
      <c r="A6" s="39" t="inlineStr">
        <is>
          <t>Attack</t>
        </is>
      </c>
      <c r="B6" s="40" t="inlineStr">
        <is>
          <t>Melee or ranged attack</t>
        </is>
      </c>
      <c r="C6" s="41" t="inlineStr">
        <is>
          <t>ROF 2 can split around Move</t>
        </is>
      </c>
      <c r="D6" s="42" t="inlineStr">
        <is>
          <t>170</t>
        </is>
      </c>
    </row>
    <row r="7" ht="28" customHeight="1">
      <c r="A7" s="36" t="inlineStr">
        <is>
          <t>Aimed Shot</t>
        </is>
      </c>
      <c r="B7" s="4" t="inlineStr">
        <is>
          <t>−8, ROF 1. Head: leftover ×2. Leg: Broken Leg. Held item: drop</t>
        </is>
      </c>
      <c r="C7" s="37" t="inlineStr">
        <is>
          <t>Not Autofire / shells</t>
        </is>
      </c>
      <c r="D7" s="38" t="inlineStr">
        <is>
          <t>169</t>
        </is>
      </c>
    </row>
    <row r="8" ht="28" customHeight="1">
      <c r="A8" s="39" t="inlineStr">
        <is>
          <t>Reload</t>
        </is>
      </c>
      <c r="B8" s="40" t="inlineStr">
        <is>
          <t>Full mag, one ammo type</t>
        </is>
      </c>
      <c r="C8" s="41" t="inlineStr">
        <is>
          <t>Action</t>
        </is>
      </c>
      <c r="D8" s="42" t="inlineStr">
        <is>
          <t>171</t>
        </is>
      </c>
    </row>
    <row r="9" ht="28" customHeight="1">
      <c r="A9" s="36" t="inlineStr">
        <is>
          <t>Get Up</t>
        </is>
      </c>
      <c r="B9" s="4" t="inlineStr">
        <is>
          <t>Leave Prone</t>
        </is>
      </c>
      <c r="C9" s="37" t="inlineStr">
        <is>
          <t>Can't move until you do</t>
        </is>
      </c>
      <c r="D9" s="38" t="inlineStr">
        <is>
          <t>127</t>
        </is>
      </c>
    </row>
    <row r="10" ht="28" customHeight="1">
      <c r="A10" s="39" t="inlineStr">
        <is>
          <t>Grab / Choke / Throw / Human Shield</t>
        </is>
      </c>
      <c r="B10" s="40" t="inlineStr">
        <is>
          <t>Grapple suite</t>
        </is>
      </c>
      <c r="C10" s="41" t="inlineStr">
        <is>
          <t>See melee</t>
        </is>
      </c>
      <c r="D10" s="42" t="inlineStr">
        <is>
          <t>175</t>
        </is>
      </c>
    </row>
    <row r="11" ht="28" customHeight="1">
      <c r="A11" s="36" t="inlineStr">
        <is>
          <t>Hold Action</t>
        </is>
      </c>
      <c r="B11" s="4" t="inlineStr">
        <is>
          <t>Delay; name trigger + action + target</t>
        </is>
      </c>
      <c r="C11" s="37" t="inlineStr"/>
      <c r="D11" s="38" t="inlineStr">
        <is>
          <t>127</t>
        </is>
      </c>
    </row>
    <row r="12" ht="28" customHeight="1">
      <c r="A12" s="39" t="inlineStr">
        <is>
          <t>Run</t>
        </is>
      </c>
      <c r="B12" s="40" t="inlineStr">
        <is>
          <t>Extra Move Action</t>
        </is>
      </c>
      <c r="C12" s="41" t="inlineStr">
        <is>
          <t>Only if you already Moved</t>
        </is>
      </c>
      <c r="D12" s="42" t="inlineStr">
        <is>
          <t>128</t>
        </is>
      </c>
    </row>
    <row r="13" ht="28" customHeight="1">
      <c r="A13" s="36" t="inlineStr">
        <is>
          <t>Stabilize</t>
        </is>
      </c>
      <c r="B13" s="4" t="inlineStr">
        <is>
          <t>Start natural heal / pull out of Mortally Wounded</t>
        </is>
      </c>
      <c r="C13" s="37" t="inlineStr">
        <is>
          <t>Action</t>
        </is>
      </c>
      <c r="D13" s="38" t="inlineStr">
        <is>
          <t>222</t>
        </is>
      </c>
    </row>
    <row r="14" ht="28" customHeight="1">
      <c r="A14" s="39" t="inlineStr">
        <is>
          <t>Use a Skill / Object</t>
        </is>
      </c>
      <c r="B14" s="40" t="inlineStr">
        <is>
          <t>3-second task</t>
        </is>
      </c>
      <c r="C14" s="41" t="inlineStr">
        <is>
          <t>Longer = spend Actions</t>
        </is>
      </c>
      <c r="D14" s="42" t="inlineStr">
        <is>
          <t>128</t>
        </is>
      </c>
    </row>
    <row r="15" ht="28" customHeight="1">
      <c r="A15" s="36" t="inlineStr">
        <is>
          <t>Use NET Actions</t>
        </is>
      </c>
      <c r="B15" s="4" t="inlineStr">
        <is>
          <t>Netrunner: NET instead of meat Action</t>
        </is>
      </c>
      <c r="C15" s="37" t="inlineStr">
        <is>
          <t>Interface rank</t>
        </is>
      </c>
      <c r="D15" s="38" t="inlineStr">
        <is>
          <t>197</t>
        </is>
      </c>
    </row>
    <row r="16" ht="28" customHeight="1">
      <c r="A16" s="39" t="inlineStr">
        <is>
          <t>Start / Get in Vehicle / Maneuver</t>
        </is>
      </c>
      <c r="B16" s="40" t="inlineStr">
        <is>
          <t>Vehicle combat</t>
        </is>
      </c>
      <c r="C16" s="41" t="inlineStr"/>
      <c r="D16" s="42" t="inlineStr">
        <is>
          <t>189</t>
        </is>
      </c>
    </row>
    <row r="17" ht="28" customHeight="1">
      <c r="A17" s="36" t="inlineStr">
        <is>
          <t>Equip/Drop Shield</t>
        </is>
      </c>
      <c r="B17" s="4" t="inlineStr">
        <is>
          <t>Shield = Action to don or drop</t>
        </is>
      </c>
      <c r="C17" s="37" t="inlineStr"/>
      <c r="D17" s="38" t="inlineStr">
        <is>
          <t>127</t>
        </is>
      </c>
    </row>
    <row r="19">
      <c r="A19" s="27" t="inlineStr">
        <is>
          <t>WOUNDS  ·  ARMOR  ·  BRAWLING</t>
        </is>
      </c>
      <c r="B19" s="8" t="n"/>
      <c r="C19" s="8" t="n"/>
      <c r="D19" s="8" t="n"/>
    </row>
    <row r="20" ht="48" customHeight="1">
      <c r="A20" s="43" t="inlineStr">
        <is>
          <t>Seriously Wounded: HP ≤ ⌈HP max / 2⌉. −2 to all Actions. Death Save = BODY. Mortally Wounded: HP 0. At start of your Turn roll 1d10 ≤ BODY or die. Each time you take damage while Mortal: Critical Injury +1 Death Save Penalty.</t>
        </is>
      </c>
    </row>
    <row r="21" ht="48" customHeight="1">
      <c r="A21" s="44" t="inlineStr">
        <is>
          <t>Armor: if damage &gt; SP, HP loss = damage − SP, then ablate SP by 1 (unless the attack says otherwise). Melee weapons ignore half SP (round up). Brawling does NOT. Ablate Head and Body separately.</t>
        </is>
      </c>
    </row>
    <row r="22" ht="48" customHeight="1">
      <c r="A22" s="43" t="inlineStr">
        <is>
          <t>Brawling DMG by BODY: ≤4 → 1d6 · 5–6 (or ≤4 with Cyberarm) → 2d6 · 7–10 → 3d6 · 11+ → 4d6. Cyberarm brawl is at least 2d6.</t>
        </is>
      </c>
    </row>
    <row r="23" ht="48" customHeight="1">
      <c r="A23" s="44" t="inlineStr">
        <is>
          <t>Facedown: both roll COOL + 1d10. Loser backs down or takes −2 on Checks against the winner until they beat them once. Cover: if they can see you, you are not in cover (bulletproof glass excepted).</t>
        </is>
      </c>
    </row>
    <row r="24" ht="48" customHeight="1">
      <c r="A24" s="43" t="inlineStr">
        <is>
          <t>LUCK: spend 1:1 on a Check, resets each session. Extra Time: ×4 duration = +1 once. Complementary Skill: +1 once, no stack. Crit success: natural 10, add extra 1d10. Crit fail: natural 1, subtract extra 1d10.</t>
        </is>
      </c>
    </row>
  </sheetData>
  <mergeCells count="8">
    <mergeCell ref="A1:D1"/>
    <mergeCell ref="A23:D23"/>
    <mergeCell ref="A22:D22"/>
    <mergeCell ref="A20:D20"/>
    <mergeCell ref="A21:D21"/>
    <mergeCell ref="A3:D3"/>
    <mergeCell ref="A24:D24"/>
    <mergeCell ref="A19:D19"/>
  </mergeCells>
  <printOptions horizontalCentered="1"/>
  <pageMargins left="0.4" right="0.4" top="0.5" bottom="0.5" header="0.2" footer="0.2"/>
  <pageSetup orientation="portrait" paperSize="9" fitToHeight="1" fitToWidth="1"/>
  <headerFooter>
    <oddHeader/>
    <oddFooter>&amp;LNC//NET STREET FILE  ·  unofficial table aid&amp;R&amp;A  ·  &amp;P/&amp;N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I23"/>
  <sheetViews>
    <sheetView showGridLines="0" view="pageLayout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 xml:space="preserve">  REF  ·  RANGE TABLES  ·  CPR p.173–174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4" t="inlineStr">
        <is>
          <t>Ranged: REF + weapon Skill + 1d10 vs DV by range (or vs DEX + Evasion + 1d10 if defender REF ≥ 8). Tie: defender wins. CPR p.173.</t>
        </is>
      </c>
    </row>
    <row r="4">
      <c r="A4" s="45" t="inlineStr">
        <is>
          <t>SINGLE SHOT DV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2" t="inlineStr">
        <is>
          <t>Weapon</t>
        </is>
      </c>
      <c r="B5" s="22" t="inlineStr">
        <is>
          <t>0–6 m</t>
        </is>
      </c>
      <c r="C5" s="22" t="inlineStr">
        <is>
          <t>7–12</t>
        </is>
      </c>
      <c r="D5" s="22" t="inlineStr">
        <is>
          <t>13–25</t>
        </is>
      </c>
      <c r="E5" s="22" t="inlineStr">
        <is>
          <t>26–50</t>
        </is>
      </c>
      <c r="F5" s="22" t="inlineStr">
        <is>
          <t>51–100</t>
        </is>
      </c>
      <c r="G5" s="22" t="inlineStr">
        <is>
          <t>101–200</t>
        </is>
      </c>
      <c r="H5" s="22" t="inlineStr">
        <is>
          <t>201–400</t>
        </is>
      </c>
      <c r="I5" s="22" t="inlineStr">
        <is>
          <t>401–800</t>
        </is>
      </c>
    </row>
    <row r="6" ht="18" customHeight="1">
      <c r="A6" s="46" t="inlineStr">
        <is>
          <t>Pistol</t>
        </is>
      </c>
      <c r="B6" s="47" t="n">
        <v>13</v>
      </c>
      <c r="C6" s="47" t="n">
        <v>15</v>
      </c>
      <c r="D6" s="47" t="n">
        <v>20</v>
      </c>
      <c r="E6" s="47" t="n">
        <v>25</v>
      </c>
      <c r="F6" s="47" t="n">
        <v>30</v>
      </c>
      <c r="G6" s="47" t="n">
        <v>30</v>
      </c>
      <c r="H6" s="47" t="inlineStr">
        <is>
          <t>—</t>
        </is>
      </c>
      <c r="I6" s="47" t="inlineStr">
        <is>
          <t>—</t>
        </is>
      </c>
    </row>
    <row r="7" ht="18" customHeight="1">
      <c r="A7" s="48" t="inlineStr">
        <is>
          <t>SMG</t>
        </is>
      </c>
      <c r="B7" s="49" t="n">
        <v>15</v>
      </c>
      <c r="C7" s="49" t="n">
        <v>13</v>
      </c>
      <c r="D7" s="49" t="n">
        <v>15</v>
      </c>
      <c r="E7" s="49" t="n">
        <v>20</v>
      </c>
      <c r="F7" s="49" t="n">
        <v>25</v>
      </c>
      <c r="G7" s="49" t="n">
        <v>25</v>
      </c>
      <c r="H7" s="49" t="n">
        <v>30</v>
      </c>
      <c r="I7" s="49" t="inlineStr">
        <is>
          <t>—</t>
        </is>
      </c>
    </row>
    <row r="8" ht="18" customHeight="1">
      <c r="A8" s="46" t="inlineStr">
        <is>
          <t>Shotgun (Slug)</t>
        </is>
      </c>
      <c r="B8" s="47" t="n">
        <v>13</v>
      </c>
      <c r="C8" s="47" t="n">
        <v>15</v>
      </c>
      <c r="D8" s="47" t="n">
        <v>20</v>
      </c>
      <c r="E8" s="47" t="n">
        <v>25</v>
      </c>
      <c r="F8" s="47" t="n">
        <v>30</v>
      </c>
      <c r="G8" s="47" t="n">
        <v>35</v>
      </c>
      <c r="H8" s="47" t="inlineStr">
        <is>
          <t>—</t>
        </is>
      </c>
      <c r="I8" s="47" t="inlineStr">
        <is>
          <t>—</t>
        </is>
      </c>
    </row>
    <row r="9" ht="18" customHeight="1">
      <c r="A9" s="48" t="inlineStr">
        <is>
          <t>Assault Rifle</t>
        </is>
      </c>
      <c r="B9" s="49" t="n">
        <v>17</v>
      </c>
      <c r="C9" s="49" t="n">
        <v>16</v>
      </c>
      <c r="D9" s="49" t="n">
        <v>15</v>
      </c>
      <c r="E9" s="49" t="n">
        <v>13</v>
      </c>
      <c r="F9" s="49" t="n">
        <v>15</v>
      </c>
      <c r="G9" s="49" t="n">
        <v>20</v>
      </c>
      <c r="H9" s="49" t="n">
        <v>25</v>
      </c>
      <c r="I9" s="49" t="n">
        <v>30</v>
      </c>
    </row>
    <row r="10" ht="18" customHeight="1">
      <c r="A10" s="46" t="inlineStr">
        <is>
          <t>Sniper Rifle</t>
        </is>
      </c>
      <c r="B10" s="47" t="n">
        <v>30</v>
      </c>
      <c r="C10" s="47" t="n">
        <v>25</v>
      </c>
      <c r="D10" s="47" t="n">
        <v>25</v>
      </c>
      <c r="E10" s="47" t="n">
        <v>20</v>
      </c>
      <c r="F10" s="47" t="n">
        <v>15</v>
      </c>
      <c r="G10" s="47" t="n">
        <v>16</v>
      </c>
      <c r="H10" s="47" t="n">
        <v>17</v>
      </c>
      <c r="I10" s="47" t="n">
        <v>20</v>
      </c>
    </row>
    <row r="11" ht="18" customHeight="1">
      <c r="A11" s="48" t="inlineStr">
        <is>
          <t>Bow / Crossbow</t>
        </is>
      </c>
      <c r="B11" s="49" t="n">
        <v>15</v>
      </c>
      <c r="C11" s="49" t="n">
        <v>13</v>
      </c>
      <c r="D11" s="49" t="n">
        <v>15</v>
      </c>
      <c r="E11" s="49" t="n">
        <v>17</v>
      </c>
      <c r="F11" s="49" t="n">
        <v>20</v>
      </c>
      <c r="G11" s="49" t="n">
        <v>22</v>
      </c>
      <c r="H11" s="49" t="inlineStr">
        <is>
          <t>—</t>
        </is>
      </c>
      <c r="I11" s="49" t="inlineStr">
        <is>
          <t>—</t>
        </is>
      </c>
    </row>
    <row r="12" ht="18" customHeight="1">
      <c r="A12" s="46" t="inlineStr">
        <is>
          <t>Grenade Launcher</t>
        </is>
      </c>
      <c r="B12" s="47" t="n">
        <v>16</v>
      </c>
      <c r="C12" s="47" t="n">
        <v>15</v>
      </c>
      <c r="D12" s="47" t="n">
        <v>15</v>
      </c>
      <c r="E12" s="47" t="n">
        <v>17</v>
      </c>
      <c r="F12" s="47" t="n">
        <v>20</v>
      </c>
      <c r="G12" s="47" t="n">
        <v>22</v>
      </c>
      <c r="H12" s="47" t="n">
        <v>25</v>
      </c>
      <c r="I12" s="47" t="inlineStr">
        <is>
          <t>—</t>
        </is>
      </c>
    </row>
    <row r="13" ht="18" customHeight="1">
      <c r="A13" s="48" t="inlineStr">
        <is>
          <t>Rocket Launcher</t>
        </is>
      </c>
      <c r="B13" s="49" t="n">
        <v>17</v>
      </c>
      <c r="C13" s="49" t="n">
        <v>16</v>
      </c>
      <c r="D13" s="49" t="n">
        <v>15</v>
      </c>
      <c r="E13" s="49" t="n">
        <v>15</v>
      </c>
      <c r="F13" s="49" t="n">
        <v>20</v>
      </c>
      <c r="G13" s="49" t="n">
        <v>20</v>
      </c>
      <c r="H13" s="49" t="n">
        <v>25</v>
      </c>
      <c r="I13" s="49" t="n">
        <v>30</v>
      </c>
    </row>
    <row r="15">
      <c r="A15" s="27" t="inlineStr">
        <is>
          <t>AUTOFIRE DV   ·   costs 10 bullets  ·   Autofire Skill  ·   damage 2d6 × amount you beat DV, cap = weapon Autofire (SMG 3 / AR 4)  ·  no Aimed Shot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</row>
    <row r="16">
      <c r="A16" s="22" t="inlineStr">
        <is>
          <t>Weapon</t>
        </is>
      </c>
      <c r="B16" s="22" t="inlineStr">
        <is>
          <t>0–6 m</t>
        </is>
      </c>
      <c r="C16" s="22" t="inlineStr">
        <is>
          <t>7–12</t>
        </is>
      </c>
      <c r="D16" s="22" t="inlineStr">
        <is>
          <t>13–25</t>
        </is>
      </c>
      <c r="E16" s="22" t="inlineStr">
        <is>
          <t>26–50</t>
        </is>
      </c>
      <c r="F16" s="22" t="inlineStr">
        <is>
          <t>51–100</t>
        </is>
      </c>
      <c r="G16" s="22" t="inlineStr"/>
      <c r="H16" s="22" t="inlineStr"/>
      <c r="I16" s="22" t="inlineStr"/>
    </row>
    <row r="17">
      <c r="A17" s="38" t="inlineStr">
        <is>
          <t>SMG</t>
        </is>
      </c>
      <c r="B17" s="29" t="n">
        <v>20</v>
      </c>
      <c r="C17" s="29" t="n">
        <v>17</v>
      </c>
      <c r="D17" s="29" t="n">
        <v>20</v>
      </c>
      <c r="E17" s="29" t="n">
        <v>25</v>
      </c>
      <c r="F17" s="29" t="n">
        <v>30</v>
      </c>
    </row>
    <row r="18">
      <c r="A18" s="42" t="inlineStr">
        <is>
          <t>Assault Rifle</t>
        </is>
      </c>
      <c r="B18" s="32" t="n">
        <v>22</v>
      </c>
      <c r="C18" s="32" t="n">
        <v>20</v>
      </c>
      <c r="D18" s="32" t="n">
        <v>17</v>
      </c>
      <c r="E18" s="32" t="n">
        <v>20</v>
      </c>
      <c r="F18" s="32" t="n">
        <v>25</v>
      </c>
    </row>
    <row r="20" ht="22" customHeight="1">
      <c r="A20" s="50" t="inlineStr">
        <is>
          <t>Shotgun shell: 1 attack vs DV13; every target you can see in 6 m cone takes 3d6 (roll once). No Aimed Shot.</t>
        </is>
      </c>
    </row>
    <row r="21" ht="22" customHeight="1">
      <c r="A21" s="50" t="inlineStr">
        <is>
          <t>Suppressive Fire: Action + 10 bullets. Everyone on foot, out of cover, in LOS, ≤25 m: WILL + Concentration + 1d10 vs your REF + Autofire + 1d10 or they must Move into cover.</t>
        </is>
      </c>
    </row>
    <row r="22" ht="22" customHeight="1">
      <c r="A22" s="50" t="inlineStr">
        <is>
          <t>Thrown weapons: ROF 1, REF + Athletics vs thrown range DV. Melee thrown does not halve SP. Grenades deal explosive damage in 10×10 m.</t>
        </is>
      </c>
    </row>
    <row r="23" ht="22" customHeight="1">
      <c r="A23" s="50" t="inlineStr">
        <is>
          <t>Arrows: loading is part of the attack (no Reload Action). Basic arrows can be retrieved.</t>
        </is>
      </c>
    </row>
  </sheetData>
  <mergeCells count="8">
    <mergeCell ref="A15:I15"/>
    <mergeCell ref="A1:I1"/>
    <mergeCell ref="A23:I23"/>
    <mergeCell ref="A3:I3"/>
    <mergeCell ref="A22:I22"/>
    <mergeCell ref="A4:I4"/>
    <mergeCell ref="A20:I20"/>
    <mergeCell ref="A21:I21"/>
  </mergeCells>
  <printOptions horizontalCentered="1"/>
  <pageMargins left="0.4" right="0.4" top="0.5" bottom="0.5" header="0.2" footer="0.2"/>
  <pageSetup orientation="landscape" paperSize="9" fitToHeight="1" fitToWidth="1"/>
  <headerFooter>
    <oddHeader/>
    <oddFooter>&amp;LNC//NET STREET FILE  ·  unofficial table aid&amp;R&amp;A  ·  &amp;P/&amp;N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D31"/>
  <sheetViews>
    <sheetView showGridLines="0" view="pageLayout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22" customWidth="1" min="4" max="4"/>
  </cols>
  <sheetData>
    <row r="1" ht="28" customHeight="1">
      <c r="A1" s="1" t="inlineStr">
        <is>
          <t xml:space="preserve">  REF  ·  DIFFICULTY  ·  IP  ·  PRICES  ·  CPR p.129–130, 385, 411</t>
        </is>
      </c>
      <c r="B1" s="2" t="n"/>
      <c r="C1" s="2" t="n"/>
      <c r="D1" s="2" t="n"/>
    </row>
    <row r="3">
      <c r="A3" s="34" t="inlineStr">
        <is>
          <t>STAT + Skill + 1d10 vs DV  (or vs defender STAT + Skill + 1d10). Tie: defender wins. No Skill: STAT + 1d10 only.</t>
        </is>
      </c>
    </row>
    <row r="5">
      <c r="A5" s="22" t="inlineStr">
        <is>
          <t>Difficulty</t>
        </is>
      </c>
      <c r="B5" s="22" t="inlineStr">
        <is>
          <t>DV</t>
        </is>
      </c>
      <c r="C5" s="22" t="inlineStr">
        <is>
          <t>On the street</t>
        </is>
      </c>
      <c r="D5" s="22" t="inlineStr">
        <is>
          <t>CPR</t>
        </is>
      </c>
    </row>
    <row r="6">
      <c r="A6" s="51" t="inlineStr">
        <is>
          <t>Simple</t>
        </is>
      </c>
      <c r="B6" s="52" t="n">
        <v>9</v>
      </c>
      <c r="C6" s="30" t="inlineStr">
        <is>
          <t>Most people, no thinking — hard for a child</t>
        </is>
      </c>
      <c r="D6" s="29" t="inlineStr">
        <is>
          <t>130</t>
        </is>
      </c>
    </row>
    <row r="7">
      <c r="A7" s="53" t="inlineStr">
        <is>
          <t>Everyday</t>
        </is>
      </c>
      <c r="B7" s="54" t="n">
        <v>13</v>
      </c>
      <c r="C7" s="33" t="inlineStr">
        <is>
          <t>Most people, no special training</t>
        </is>
      </c>
      <c r="D7" s="32" t="inlineStr">
        <is>
          <t>130</t>
        </is>
      </c>
    </row>
    <row r="8">
      <c r="A8" s="51" t="inlineStr">
        <is>
          <t>Difficult</t>
        </is>
      </c>
      <c r="B8" s="52" t="n">
        <v>15</v>
      </c>
      <c r="C8" s="30" t="inlineStr">
        <is>
          <t>Needs training or talent</t>
        </is>
      </c>
      <c r="D8" s="29" t="inlineStr">
        <is>
          <t>130</t>
        </is>
      </c>
    </row>
    <row r="9">
      <c r="A9" s="53" t="inlineStr">
        <is>
          <t>Professional</t>
        </is>
      </c>
      <c r="B9" s="54" t="n">
        <v>17</v>
      </c>
      <c r="C9" s="33" t="inlineStr">
        <is>
          <t>Actual training; you are a pro</t>
        </is>
      </c>
      <c r="D9" s="32" t="inlineStr">
        <is>
          <t>130</t>
        </is>
      </c>
    </row>
    <row r="10">
      <c r="A10" s="51" t="inlineStr">
        <is>
          <t>Heroic</t>
        </is>
      </c>
      <c r="B10" s="52" t="n">
        <v>21</v>
      </c>
      <c r="C10" s="30" t="inlineStr">
        <is>
          <t>Sports-star / best of the best</t>
        </is>
      </c>
      <c r="D10" s="29" t="inlineStr">
        <is>
          <t>130</t>
        </is>
      </c>
    </row>
    <row r="11">
      <c r="A11" s="53" t="inlineStr">
        <is>
          <t>Incredible</t>
        </is>
      </c>
      <c r="B11" s="54" t="n">
        <v>24</v>
      </c>
      <c r="C11" s="33" t="inlineStr">
        <is>
          <t>Olympian, top of the class</t>
        </is>
      </c>
      <c r="D11" s="32" t="inlineStr">
        <is>
          <t>130</t>
        </is>
      </c>
    </row>
    <row r="12">
      <c r="A12" s="51" t="inlineStr">
        <is>
          <t>Legendary</t>
        </is>
      </c>
      <c r="B12" s="52" t="n">
        <v>29</v>
      </c>
      <c r="C12" s="30" t="inlineStr">
        <is>
          <t>People write stories about this</t>
        </is>
      </c>
      <c r="D12" s="29" t="inlineStr">
        <is>
          <t>130</t>
        </is>
      </c>
    </row>
    <row r="14">
      <c r="A14" s="27" t="inlineStr">
        <is>
          <t>IMPROVEMENT POINTS  (spend between sessions)</t>
        </is>
      </c>
      <c r="B14" s="8" t="n"/>
      <c r="C14" s="8" t="n"/>
      <c r="D14" s="8" t="n"/>
    </row>
    <row r="15">
      <c r="A15" s="22" t="inlineStr">
        <is>
          <t>What</t>
        </is>
      </c>
      <c r="B15" s="22" t="inlineStr">
        <is>
          <t>Cost</t>
        </is>
      </c>
      <c r="C15" s="22" t="inlineStr">
        <is>
          <t>Note</t>
        </is>
      </c>
      <c r="D15" s="22" t="inlineStr">
        <is>
          <t>CPR</t>
        </is>
      </c>
    </row>
    <row r="16">
      <c r="A16" s="31" t="inlineStr">
        <is>
          <t>Raise a Skill</t>
        </is>
      </c>
      <c r="B16" s="31" t="inlineStr">
        <is>
          <t>10 × new level</t>
        </is>
      </c>
      <c r="C16" s="31" t="inlineStr">
        <is>
          <t>0→1 costs 10; 5→6 costs 60. x2 skills cost double.</t>
        </is>
      </c>
      <c r="D16" s="31" t="inlineStr">
        <is>
          <t>411</t>
        </is>
      </c>
    </row>
    <row r="17">
      <c r="A17" s="31" t="inlineStr">
        <is>
          <t>Raise Role Ability</t>
        </is>
      </c>
      <c r="B17" s="31" t="inlineStr">
        <is>
          <t>20 × new rank</t>
        </is>
      </c>
      <c r="C17" s="31" t="inlineStr">
        <is>
          <t>3→4 costs 80</t>
        </is>
      </c>
      <c r="D17" s="31" t="inlineStr">
        <is>
          <t>411</t>
        </is>
      </c>
    </row>
    <row r="18">
      <c r="A18" s="31" t="inlineStr">
        <is>
          <t>Playstyle IP</t>
        </is>
      </c>
      <c r="B18" s="31" t="inlineStr">
        <is>
          <t>GM table 10–80</t>
        </is>
      </c>
      <c r="C18" s="31" t="inlineStr">
        <is>
          <t>Group vs Warrior / Socializer / Explorer / Roleplayer</t>
        </is>
      </c>
      <c r="D18" s="31" t="inlineStr">
        <is>
          <t>410</t>
        </is>
      </c>
    </row>
    <row r="20">
      <c r="A20" s="45" t="inlineStr">
        <is>
          <t>PRICE CATEGORIES  ·  without a Fixer you buy up to Premium only</t>
        </is>
      </c>
      <c r="B20" s="2" t="n"/>
      <c r="C20" s="2" t="n"/>
      <c r="D20" s="2" t="n"/>
    </row>
    <row r="21">
      <c r="A21" s="22" t="inlineStr">
        <is>
          <t>Category</t>
        </is>
      </c>
      <c r="B21" s="22" t="inlineStr">
        <is>
          <t>eb</t>
        </is>
      </c>
      <c r="C21" s="22" t="inlineStr">
        <is>
          <t>Note</t>
        </is>
      </c>
      <c r="D21" s="22" t="inlineStr">
        <is>
          <t>CPR</t>
        </is>
      </c>
    </row>
    <row r="22">
      <c r="A22" s="28" t="inlineStr">
        <is>
          <t>Cheap</t>
        </is>
      </c>
      <c r="B22" s="55" t="n">
        <v>10</v>
      </c>
      <c r="C22" s="28" t="inlineStr"/>
      <c r="D22" s="28" t="inlineStr">
        <is>
          <t>385</t>
        </is>
      </c>
    </row>
    <row r="23">
      <c r="A23" s="31" t="inlineStr">
        <is>
          <t>Everyday</t>
        </is>
      </c>
      <c r="B23" s="56" t="n">
        <v>20</v>
      </c>
      <c r="C23" s="31" t="inlineStr"/>
      <c r="D23" s="31" t="inlineStr">
        <is>
          <t>385</t>
        </is>
      </c>
    </row>
    <row r="24">
      <c r="A24" s="28" t="inlineStr">
        <is>
          <t>Costly</t>
        </is>
      </c>
      <c r="B24" s="55" t="n">
        <v>50</v>
      </c>
      <c r="C24" s="28" t="inlineStr"/>
      <c r="D24" s="28" t="inlineStr">
        <is>
          <t>385</t>
        </is>
      </c>
    </row>
    <row r="25">
      <c r="A25" s="31" t="inlineStr">
        <is>
          <t>Premium</t>
        </is>
      </c>
      <c r="B25" s="56" t="n">
        <v>100</v>
      </c>
      <c r="C25" s="31" t="inlineStr">
        <is>
          <t>Street ceiling without a Fixer</t>
        </is>
      </c>
      <c r="D25" s="31" t="inlineStr">
        <is>
          <t>385</t>
        </is>
      </c>
    </row>
    <row r="26">
      <c r="A26" s="28" t="inlineStr">
        <is>
          <t>Expensive</t>
        </is>
      </c>
      <c r="B26" s="55" t="n">
        <v>500</v>
      </c>
      <c r="C26" s="28" t="inlineStr">
        <is>
          <t>Needs Fixer / Night Market</t>
        </is>
      </c>
      <c r="D26" s="28" t="inlineStr">
        <is>
          <t>385</t>
        </is>
      </c>
    </row>
    <row r="27">
      <c r="A27" s="31" t="inlineStr">
        <is>
          <t>Very Expensive</t>
        </is>
      </c>
      <c r="B27" s="56" t="n">
        <v>1000</v>
      </c>
      <c r="C27" s="31" t="inlineStr"/>
      <c r="D27" s="31" t="inlineStr">
        <is>
          <t>385</t>
        </is>
      </c>
    </row>
    <row r="28">
      <c r="A28" s="28" t="inlineStr">
        <is>
          <t>Luxury</t>
        </is>
      </c>
      <c r="B28" s="55" t="n">
        <v>5000</v>
      </c>
      <c r="C28" s="28" t="inlineStr"/>
      <c r="D28" s="28" t="inlineStr">
        <is>
          <t>385</t>
        </is>
      </c>
    </row>
    <row r="29">
      <c r="A29" s="31" t="inlineStr">
        <is>
          <t>Super Luxury</t>
        </is>
      </c>
      <c r="B29" s="56" t="inlineStr">
        <is>
          <t>10000+</t>
        </is>
      </c>
      <c r="C29" s="31" t="inlineStr"/>
      <c r="D29" s="31" t="inlineStr">
        <is>
          <t>385</t>
        </is>
      </c>
    </row>
    <row r="31" ht="48" customHeight="1">
      <c r="A31" s="57" t="inlineStr">
        <is>
          <t>Modifiers (subtract from your roll, they stack): night −1 · never done this −1 · complex −2 · no tools −2 · bad sleep −2 · extreme stress −2 · exhausted −4 · drunk/sedated −4 · secretly −4 · smoke/dark −4. Extra Time ×4 = +1. Complementary Skill = +1 once.</t>
        </is>
      </c>
    </row>
  </sheetData>
  <mergeCells count="5">
    <mergeCell ref="A1:D1"/>
    <mergeCell ref="A31:D31"/>
    <mergeCell ref="A20:D20"/>
    <mergeCell ref="A3:D3"/>
    <mergeCell ref="A14:D14"/>
  </mergeCells>
  <printOptions horizontalCentered="1"/>
  <pageMargins left="0.4" right="0.4" top="0.5" bottom="0.5" header="0.2" footer="0.2"/>
  <pageSetup orientation="portrait" paperSize="9" fitToHeight="1" fitToWidth="1"/>
  <headerFooter>
    <oddHeader/>
    <oddFooter>&amp;LNC//NET STREET FILE  ·  unofficial table aid&amp;R&amp;A  · 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NC//NET</dc:creator>
  <dc:title>NC//NET Street File</dc:title>
  <dc:description>Offline character ledger + play screen for Cyberpunk RED. Unofficial table aid.</dc:description>
  <dcterms:created xsi:type="dcterms:W3CDTF">2026-09-22T23:08:55Z</dcterms:created>
  <dcterms:modified xsi:type="dcterms:W3CDTF">2026-09-22T23:08:55Z</dcterms:modified>
</cp:coreProperties>
</file>