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ДОСЬЕ" sheetId="1" state="visible" r:id="rId1"/>
    <sheet name="02 ОСНОВА" sheetId="2" state="visible" r:id="rId2"/>
    <sheet name="03 НАВЫКИ" sheetId="3" state="visible" r:id="rId3"/>
    <sheet name="04 ХРОМ" sheetId="4" state="visible" r:id="rId4"/>
    <sheet name="05 СНАРЯЖЕНИЕ" sheetId="5" state="visible" r:id="rId5"/>
    <sheet name="06 СОСТОЯНИЕ" sheetId="6" state="visible" r:id="rId6"/>
    <sheet name="КАТАЛОГ" sheetId="7" state="visible" r:id="rId7"/>
    <sheet name="СПРАВКА" sheetId="8" state="visible" r:id="rId8"/>
    <sheet name="ПРАВИЛА" sheetId="9" state="visible" r:id="rId9"/>
  </sheets>
  <definedNames>
    <definedName name="_xlnm._FilterDatabase" localSheetId="6" hidden="1">'КАТАЛОГ'!$A$2:$T$1093</definedName>
  </definedNames>
  <calcPr calcId="124519" fullCalcOnLoad="1"/>
</workbook>
</file>

<file path=xl/styles.xml><?xml version="1.0" encoding="utf-8"?>
<styleSheet xmlns="http://schemas.openxmlformats.org/spreadsheetml/2006/main">
  <numFmts count="1">
    <numFmt numFmtId="164" formatCode="#,##0&quot; €$&quot;"/>
  </numFmts>
  <fonts count="19">
    <font>
      <name val="Calibri"/>
      <family val="2"/>
      <color theme="1"/>
      <sz val="11"/>
      <scheme val="minor"/>
    </font>
    <font>
      <name val="Courier New"/>
      <b val="1"/>
      <color rgb="00FFFFFF"/>
      <sz val="10"/>
    </font>
    <font>
      <name val="Courier New"/>
      <color rgb="00FFFFFF"/>
      <sz val="8"/>
    </font>
    <font>
      <name val="Courier New"/>
      <b val="1"/>
      <color rgb="0017191D"/>
      <sz val="24"/>
    </font>
    <font>
      <name val="Courier New"/>
      <b val="1"/>
      <color rgb="007A7364"/>
      <sz val="8"/>
    </font>
    <font>
      <name val="Courier New"/>
      <b val="1"/>
      <color rgb="0012303F"/>
      <sz val="10"/>
    </font>
    <font>
      <name val="Courier New"/>
      <b val="1"/>
      <color rgb="00B3181F"/>
      <sz val="11"/>
    </font>
    <font>
      <name val="Arial"/>
      <i val="1"/>
      <color rgb="007A7364"/>
      <sz val="9"/>
    </font>
    <font>
      <name val="Courier New"/>
      <b val="1"/>
      <color rgb="0017191D"/>
      <sz val="8"/>
    </font>
    <font>
      <name val="Arial"/>
      <color rgb="0012303F"/>
      <sz val="10"/>
    </font>
    <font>
      <name val="Courier New"/>
      <b val="1"/>
      <color rgb="0017191D"/>
      <sz val="9"/>
    </font>
    <font>
      <name val="Courier New"/>
      <b val="1"/>
      <color rgb="00FFFFFF"/>
      <sz val="11"/>
    </font>
    <font>
      <name val="Courier New"/>
      <b val="1"/>
      <color rgb="00FFFFFF"/>
      <sz val="8"/>
    </font>
    <font>
      <name val="Arial"/>
      <color rgb="0017191D"/>
      <sz val="10"/>
    </font>
    <font>
      <name val="Courier New"/>
      <color rgb="0017191D"/>
      <sz val="10"/>
    </font>
    <font>
      <name val="Courier New"/>
      <b val="1"/>
      <color rgb="0017191D"/>
      <sz val="10"/>
    </font>
    <font>
      <name val="Courier New"/>
      <color rgb="0017191D"/>
      <sz val="9"/>
    </font>
    <font>
      <name val="Arial"/>
      <b val="1"/>
      <color rgb="0017191D"/>
      <sz val="10"/>
    </font>
    <font>
      <name val="Courier New"/>
      <b val="1"/>
      <color rgb="00B3181F"/>
      <sz val="10"/>
    </font>
  </fonts>
  <fills count="9">
    <fill>
      <patternFill/>
    </fill>
    <fill>
      <patternFill patternType="gray125"/>
    </fill>
    <fill>
      <patternFill patternType="solid">
        <fgColor rgb="001B2430"/>
      </patternFill>
    </fill>
    <fill>
      <patternFill patternType="solid">
        <fgColor rgb="002B3440"/>
      </patternFill>
    </fill>
    <fill>
      <patternFill patternType="solid">
        <fgColor rgb="00F3EFE1"/>
      </patternFill>
    </fill>
    <fill>
      <patternFill patternType="solid">
        <fgColor rgb="00FFF7D6"/>
      </patternFill>
    </fill>
    <fill>
      <patternFill patternType="solid">
        <fgColor rgb="00E4DECB"/>
      </patternFill>
    </fill>
    <fill>
      <patternFill patternType="solid">
        <fgColor rgb="00FFFFFF"/>
      </patternFill>
    </fill>
    <fill>
      <patternFill patternType="solid">
        <fgColor rgb="00E8EDF0"/>
      </patternFill>
    </fill>
  </fills>
  <borders count="25">
    <border>
      <left/>
      <right/>
      <top/>
      <bottom/>
      <diagonal/>
    </border>
    <border/>
    <border>
      <left style="thin">
        <color rgb="0017191D"/>
      </left>
      <right style="thin">
        <color rgb="0017191D"/>
      </right>
      <top style="thin">
        <color rgb="0017191D"/>
      </top>
      <bottom style="thin">
        <color rgb="0017191D"/>
      </bottom>
    </border>
    <border>
      <left style="medium">
        <color rgb="0017191D"/>
      </left>
      <top style="medium">
        <color rgb="0017191D"/>
      </top>
    </border>
    <border>
      <left/>
      <right style="medium">
        <color rgb="0017191D"/>
      </right>
      <top style="medium">
        <color rgb="0017191D"/>
      </top>
      <bottom/>
    </border>
    <border>
      <left style="medium">
        <color rgb="0017191D"/>
      </left>
      <right/>
      <top/>
      <bottom/>
    </border>
    <border>
      <left/>
      <right style="medium">
        <color rgb="0017191D"/>
      </right>
      <top/>
      <bottom/>
    </border>
    <border>
      <left style="medium">
        <color rgb="0017191D"/>
      </left>
      <right/>
      <top/>
      <bottom style="medium">
        <color rgb="0017191D"/>
      </bottom>
    </border>
    <border>
      <left/>
      <right style="medium">
        <color rgb="0017191D"/>
      </right>
      <top/>
      <bottom style="medium">
        <color rgb="0017191D"/>
      </bottom>
    </border>
    <border>
      <left/>
      <right/>
      <top style="thin">
        <color rgb="0017191D"/>
      </top>
      <bottom/>
      <diagonal/>
    </border>
    <border>
      <left/>
      <right style="thin">
        <color rgb="0017191D"/>
      </right>
      <top style="thin">
        <color rgb="0017191D"/>
      </top>
      <bottom/>
      <diagonal/>
    </border>
    <border>
      <left/>
      <right/>
      <top style="thin">
        <color rgb="0017191D"/>
      </top>
      <bottom style="thin">
        <color rgb="0017191D"/>
      </bottom>
      <diagonal/>
    </border>
    <border>
      <left/>
      <right style="thin">
        <color rgb="0017191D"/>
      </right>
      <top style="thin">
        <color rgb="0017191D"/>
      </top>
      <bottom style="thin">
        <color rgb="0017191D"/>
      </bottom>
      <diagonal/>
    </border>
    <border>
      <left style="thin">
        <color rgb="0017191D"/>
      </left>
      <right/>
      <top/>
      <bottom/>
      <diagonal/>
    </border>
    <border>
      <left/>
      <right style="thin">
        <color rgb="0017191D"/>
      </right>
      <top/>
      <bottom/>
      <diagonal/>
    </border>
    <border>
      <left style="thin">
        <color rgb="0017191D"/>
      </left>
      <right/>
      <top/>
      <bottom style="thin">
        <color rgb="0017191D"/>
      </bottom>
      <diagonal/>
    </border>
    <border>
      <left/>
      <right/>
      <top/>
      <bottom style="thin">
        <color rgb="0017191D"/>
      </bottom>
      <diagonal/>
    </border>
    <border>
      <left/>
      <right style="thin">
        <color rgb="0017191D"/>
      </right>
      <top/>
      <bottom style="thin">
        <color rgb="0017191D"/>
      </bottom>
      <diagonal/>
    </border>
    <border>
      <left style="medium">
        <color rgb="0017191D"/>
      </left>
      <right style="medium">
        <color rgb="0017191D"/>
      </right>
      <top style="medium">
        <color rgb="0017191D"/>
      </top>
      <bottom style="medium">
        <color rgb="0017191D"/>
      </bottom>
    </border>
    <border>
      <left/>
      <right/>
      <top style="medium">
        <color rgb="0017191D"/>
      </top>
      <bottom/>
      <diagonal/>
    </border>
    <border>
      <left style="medium">
        <color rgb="0017191D"/>
      </left>
      <right/>
      <top/>
      <bottom/>
      <diagonal/>
    </border>
    <border>
      <left/>
      <right style="medium">
        <color rgb="0017191D"/>
      </right>
      <top style="medium">
        <color rgb="0017191D"/>
      </top>
      <bottom/>
      <diagonal/>
    </border>
    <border>
      <left/>
      <right style="medium">
        <color rgb="0017191D"/>
      </right>
      <top/>
      <bottom/>
      <diagonal/>
    </border>
    <border>
      <left style="medium">
        <color rgb="0017191D"/>
      </left>
      <right/>
      <top/>
      <bottom style="medium">
        <color rgb="0017191D"/>
      </bottom>
      <diagonal/>
    </border>
    <border>
      <left/>
      <right style="medium">
        <color rgb="0017191D"/>
      </right>
      <top/>
      <bottom style="medium">
        <color rgb="0017191D"/>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4" fillId="4" borderId="1" applyAlignment="1" pivotButton="0" quotePrefix="0" xfId="0">
      <alignment horizontal="left" vertical="center" wrapText="1"/>
    </xf>
    <xf numFmtId="0" fontId="6" fillId="5" borderId="2" applyAlignment="1" pivotButton="0" quotePrefix="0" xfId="0">
      <alignment horizontal="center" vertical="center"/>
    </xf>
    <xf numFmtId="0" fontId="7" fillId="4" borderId="1" applyAlignment="1" pivotButton="0" quotePrefix="0" xfId="0">
      <alignment horizontal="left" vertical="center" wrapText="1"/>
    </xf>
    <xf numFmtId="0" fontId="5" fillId="5" borderId="2" applyAlignment="1" pivotButton="0" quotePrefix="0" xfId="0">
      <alignment horizontal="center" vertical="center"/>
    </xf>
    <xf numFmtId="0" fontId="8" fillId="6" borderId="2" applyAlignment="1" pivotButton="0" quotePrefix="0" xfId="0">
      <alignment horizontal="left" vertical="center" wrapText="1"/>
    </xf>
    <xf numFmtId="0" fontId="9" fillId="5" borderId="2" applyAlignment="1" pivotButton="0" quotePrefix="0" xfId="0">
      <alignment horizontal="left" vertical="center" wrapText="1"/>
    </xf>
    <xf numFmtId="0" fontId="7" fillId="4" borderId="3"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0" fillId="6" borderId="1" applyAlignment="1" pivotButton="0" quotePrefix="0" xfId="0">
      <alignment horizontal="left" vertical="center"/>
    </xf>
    <xf numFmtId="0" fontId="11" fillId="3" borderId="1" applyAlignment="1" pivotButton="0" quotePrefix="0" xfId="0">
      <alignment horizontal="left" vertical="center"/>
    </xf>
    <xf numFmtId="0" fontId="0" fillId="0" borderId="11" pivotButton="0" quotePrefix="0" xfId="0"/>
    <xf numFmtId="0" fontId="0" fillId="0" borderId="12" pivotButton="0" quotePrefix="0" xfId="0"/>
    <xf numFmtId="0" fontId="12" fillId="2" borderId="1" applyAlignment="1" pivotButton="0" quotePrefix="0" xfId="0">
      <alignment horizontal="center" vertical="center" wrapText="1"/>
    </xf>
    <xf numFmtId="0" fontId="13" fillId="7" borderId="2" applyAlignment="1" pivotButton="0" quotePrefix="0" xfId="0">
      <alignment horizontal="left" vertical="center" wrapText="1"/>
    </xf>
    <xf numFmtId="0" fontId="14" fillId="8" borderId="2" applyAlignment="1" pivotButton="0" quotePrefix="0" xfId="0">
      <alignment horizontal="left" vertical="center" wrapText="1"/>
    </xf>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15" fillId="8" borderId="2" applyAlignment="1" pivotButton="0" quotePrefix="0" xfId="0">
      <alignment horizontal="center" vertical="center"/>
    </xf>
    <xf numFmtId="0" fontId="16" fillId="7" borderId="2" applyAlignment="1" pivotButton="0" quotePrefix="0" xfId="0">
      <alignment horizontal="center" vertical="center"/>
    </xf>
    <xf numFmtId="0" fontId="13" fillId="4" borderId="1" applyAlignment="1" pivotButton="0" quotePrefix="0" xfId="0">
      <alignment horizontal="left" vertical="top" wrapText="1"/>
    </xf>
    <xf numFmtId="0" fontId="13" fillId="4" borderId="2" applyAlignment="1" pivotButton="0" quotePrefix="0" xfId="0">
      <alignment horizontal="left" vertical="center" wrapText="1"/>
    </xf>
    <xf numFmtId="0" fontId="17" fillId="4" borderId="2" applyAlignment="1" pivotButton="0" quotePrefix="0" xfId="0">
      <alignment horizontal="left" vertical="center" wrapText="1"/>
    </xf>
    <xf numFmtId="0" fontId="16" fillId="4" borderId="2" applyAlignment="1" pivotButton="0" quotePrefix="0" xfId="0">
      <alignment horizontal="center" vertical="center"/>
    </xf>
    <xf numFmtId="0" fontId="18" fillId="4" borderId="2" applyAlignment="1" pivotButton="0" quotePrefix="0" xfId="0">
      <alignment horizontal="center" vertical="center"/>
    </xf>
    <xf numFmtId="0" fontId="17" fillId="7" borderId="2" applyAlignment="1" pivotButton="0" quotePrefix="0" xfId="0">
      <alignment horizontal="left" vertical="center" wrapText="1"/>
    </xf>
    <xf numFmtId="0" fontId="18" fillId="7" borderId="2" applyAlignment="1" pivotButton="0" quotePrefix="0" xfId="0">
      <alignment horizontal="center" vertical="center"/>
    </xf>
    <xf numFmtId="0" fontId="13" fillId="6" borderId="2" applyAlignment="1" pivotButton="0" quotePrefix="0" xfId="0">
      <alignment horizontal="left" vertical="center" wrapText="1"/>
    </xf>
    <xf numFmtId="164" fontId="15" fillId="8" borderId="2" applyAlignment="1" pivotButton="0" quotePrefix="0" xfId="0">
      <alignment horizontal="center" vertical="center"/>
    </xf>
    <xf numFmtId="164" fontId="5" fillId="5" borderId="2" applyAlignment="1" pivotButton="0" quotePrefix="0" xfId="0">
      <alignment horizontal="center" vertical="center"/>
    </xf>
    <xf numFmtId="0" fontId="7" fillId="4" borderId="18" applyAlignment="1" pivotButton="0" quotePrefix="0" xfId="0">
      <alignment horizontal="left" vertical="center" wrapText="1"/>
    </xf>
    <xf numFmtId="0" fontId="0" fillId="0" borderId="21"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4" pivotButton="0" quotePrefix="0" xfId="0"/>
  </cellXfs>
  <cellStyles count="1">
    <cellStyle name="Normal" xfId="0" builtinId="0" hidden="0"/>
  </cellStyles>
  <dxfs count="3">
    <dxf>
      <font>
        <name val="Courier New"/>
        <b val="1"/>
        <color rgb="007C1015"/>
      </font>
      <fill>
        <patternFill patternType="solid">
          <fgColor rgb="00FBE9C6"/>
        </patternFill>
      </fill>
    </dxf>
    <dxf>
      <font>
        <name val="Courier New"/>
        <b val="1"/>
        <color rgb="007C1015"/>
      </font>
      <fill>
        <patternFill patternType="solid">
          <fgColor rgb="00F7D2CC"/>
        </patternFill>
      </fill>
    </dxf>
    <dxf>
      <font>
        <name val="Courier New"/>
        <b val="1"/>
        <color rgb="00205020"/>
      </font>
      <fill>
        <patternFill patternType="solid">
          <fgColor rgb="00DCE9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5</row>
      <rowOff>0</rowOff>
    </from>
    <ext cx="4095750" cy="238125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3181F"/>
    <outlinePr summaryBelow="1" summaryRight="1"/>
    <pageSetUpPr fitToPage="1"/>
  </sheetPr>
  <dimension ref="B1:G85"/>
  <sheetViews>
    <sheetView showGridLines="0" workbookViewId="0">
      <selection activeCell="A1" sqref="A1"/>
    </sheetView>
  </sheetViews>
  <sheetFormatPr baseColWidth="8" defaultRowHeight="15"/>
  <cols>
    <col width="2" customWidth="1" min="1" max="1"/>
    <col width="30" customWidth="1" min="2" max="2"/>
    <col width="34" customWidth="1" min="3" max="3"/>
    <col width="30" customWidth="1" min="4" max="4"/>
    <col width="34" customWidth="1" min="5" max="5"/>
    <col width="30" customWidth="1" min="6" max="6"/>
    <col width="34" customWidth="1" min="7" max="7"/>
    <col width="2" customWidth="1" min="8" max="8"/>
  </cols>
  <sheetData>
    <row r="1" ht="20" customHeight="1">
      <c r="B1" s="1" t="inlineStr">
        <is>
          <t>NCPD  ▚  NIGHT CITY POLICE DEPARTMENT  ▚  УПРАВЛЕНИЕ BORDER SECURITY  ▚  2070</t>
        </is>
      </c>
    </row>
    <row r="2" ht="15" customHeight="1">
      <c r="B2" s="2" t="inlineStr">
        <is>
          <t>ФОРМА NCPD-77/Б · ДЕЛО ОБЪЕКТА · ДОСТУП: ОГРАНИЧЕННЫЙ · КОПИРОВАНИЕ БЕЗ ШТАМПА НЕДОПУСТИМО</t>
        </is>
      </c>
    </row>
    <row r="3" ht="34" customHeight="1">
      <c r="B3" s="3" t="inlineStr">
        <is>
          <t>Д О С Ь Е</t>
        </is>
      </c>
      <c r="F3" s="4" t="inlineStr">
        <is>
          <t>СТАТУС:</t>
        </is>
      </c>
      <c r="G3" s="5" t="inlineStr">
        <is>
          <t>АКТИВЕН</t>
        </is>
      </c>
    </row>
    <row r="4" ht="16" customHeight="1">
      <c r="B4" s="6" t="inlineStr">
        <is>
          <t>▍▎▍▎▎▍▍▎▍▎▎▍▍▎▎▍▎▍▍▎▎▍▎▍▌▎▍▎▌▍▎▎▍▎▍▌▎▍▎▎▍▎▍▎▎▍▎▍▎▎▍▎▎▌▎▍▍</t>
        </is>
      </c>
      <c r="F4" s="4" t="inlineStr">
        <is>
          <t>ДЕЛО №</t>
        </is>
      </c>
      <c r="G4" s="7" t="inlineStr">
        <is>
          <t>NC-2070-</t>
        </is>
      </c>
    </row>
    <row r="6" ht="30" customHeight="1">
      <c r="B6" s="8" t="inlineStr">
        <is>
          <t>ПОЗЫВНОЙ (HANDLE)</t>
        </is>
      </c>
      <c r="C6" s="9" t="n"/>
      <c r="D6" s="8" t="inlineStr">
        <is>
          <t>ИМЯ / ФАМИЛИЯ</t>
        </is>
      </c>
      <c r="E6" s="9" t="n"/>
      <c r="F6" s="42" t="inlineStr">
        <is>
          <t>ФОТО ОБЪЕКТА
(вставить изображение)</t>
        </is>
      </c>
      <c r="G6" s="43" t="n"/>
    </row>
    <row r="7" ht="30" customHeight="1">
      <c r="B7" s="8" t="inlineStr">
        <is>
          <t>РОЛЬ / АРХЕТИП</t>
        </is>
      </c>
      <c r="C7" s="9" t="inlineStr">
        <is>
          <t>Законник (Lawman) — NCPD, в отставке</t>
        </is>
      </c>
      <c r="D7" s="8" t="inlineStr">
        <is>
          <t>РАНГ РОЛИ</t>
        </is>
      </c>
      <c r="E7" s="9" t="inlineStr">
        <is>
          <t>Ранг 4 (Backup: вызов 1d10 ≤ 4)</t>
        </is>
      </c>
      <c r="F7" s="44" t="n"/>
      <c r="G7" s="45" t="n"/>
    </row>
    <row r="8" ht="30" customHeight="1">
      <c r="B8" s="8" t="inlineStr">
        <is>
          <t>ИГРОК</t>
        </is>
      </c>
      <c r="C8" s="9" t="n"/>
      <c r="D8" s="8" t="inlineStr">
        <is>
          <t>ВОЗРАСТ / ДАТА РОЖДЕНИЯ</t>
        </is>
      </c>
      <c r="E8" s="9" t="n"/>
      <c r="F8" s="44" t="n"/>
      <c r="G8" s="45" t="n"/>
    </row>
    <row r="9" ht="30" customHeight="1">
      <c r="B9" s="8" t="inlineStr">
        <is>
          <t>РОДНОЙ ЯЗЫК (4 БЕСПЛ.)</t>
        </is>
      </c>
      <c r="C9" s="9" t="inlineStr">
        <is>
          <t>Английский (родной, 4 беспл.) + Streetslang</t>
        </is>
      </c>
      <c r="D9" s="8" t="inlineStr">
        <is>
          <t>КУЛЬТУРНЫЕ КОРНИ</t>
        </is>
      </c>
      <c r="E9" s="9" t="inlineStr">
        <is>
          <t>Северная Америка, Найт-Сити</t>
        </is>
      </c>
      <c r="F9" s="44" t="n"/>
      <c r="G9" s="45" t="n"/>
    </row>
    <row r="10" ht="30" customHeight="1">
      <c r="B10" s="8" t="inlineStr">
        <is>
          <t>РАЙОН (LOCAL EXPERT)</t>
        </is>
      </c>
      <c r="C10" s="9" t="inlineStr">
        <is>
          <t>Хейвуд — боевые зоны</t>
        </is>
      </c>
      <c r="D10" s="8" t="inlineStr">
        <is>
          <t>СТИЛЬ ОДЕЖДЫ</t>
        </is>
      </c>
      <c r="E10" s="9" t="inlineStr">
        <is>
          <t>Кожаная куртка поверх брони, зеркальные очки (Nomad Leathers)</t>
        </is>
      </c>
      <c r="F10" s="44" t="n"/>
      <c r="G10" s="45" t="n"/>
    </row>
    <row r="11" ht="30" customHeight="1">
      <c r="B11" s="8" t="inlineStr">
        <is>
          <t>РОСТ / ВЕС / СЛОЖЕНИЕ</t>
        </is>
      </c>
      <c r="C11" s="9" t="n"/>
      <c r="D11" s="8" t="inlineStr">
        <is>
          <t>ХРОМ НА ВИДУ</t>
        </is>
      </c>
      <c r="E11" s="9" t="inlineStr">
        <is>
          <t>Видимого функционального хрома нет: на предплечье светится выцветшая татуировка-значок, остальное внутри</t>
        </is>
      </c>
      <c r="F11" s="44" t="n"/>
      <c r="G11" s="45" t="n"/>
    </row>
    <row r="12" ht="30" customHeight="1">
      <c r="B12" s="8" t="inlineStr">
        <is>
          <t>ОСОБЫЕ ПРИМЕТЫ</t>
        </is>
      </c>
      <c r="C12" s="9" t="inlineStr">
        <is>
          <t>Сухая правая кисть — старая работа с холодом</t>
        </is>
      </c>
      <c r="D12" s="8" t="inlineStr">
        <is>
          <t>ГОЛОС / МАНЕРА</t>
        </is>
      </c>
      <c r="E12" s="9" t="inlineStr">
        <is>
          <t>Низкий, ровный, «голос протокола» — короткие фразы</t>
        </is>
      </c>
      <c r="F12" s="44" t="n"/>
      <c r="G12" s="45" t="n"/>
    </row>
    <row r="13" ht="30" customHeight="1">
      <c r="B13" s="8" t="inlineStr">
        <is>
          <t>СВЯЗЬ / HOLOPHONE</t>
        </is>
      </c>
      <c r="C13" s="9" t="inlineStr">
        <is>
          <t>Agent (Standard): личный номер, отвечает всегда</t>
        </is>
      </c>
      <c r="D13" s="8" t="inlineStr">
        <is>
          <t>ЖИЛЬЁ / LIFESTYLE</t>
        </is>
      </c>
      <c r="E13" s="9" t="inlineStr">
        <is>
          <t>Грузовой контейнер в боевых зонах Хейвуда (аренда) · Kibble Lifestyle</t>
        </is>
      </c>
      <c r="F13" s="46" t="n"/>
      <c r="G13" s="47" t="n"/>
    </row>
    <row r="14" ht="22" customHeight="1">
      <c r="B14" s="16" t="inlineStr">
        <is>
          <t>СТАТУС ОБЪЕКТА: АКТИВЕН · КОНТАКТ ЧЕРЕЗ ФИКСЕРА · ДЕЛО ВЕДЁТ GM</t>
        </is>
      </c>
    </row>
    <row r="16">
      <c r="B16" s="17" t="inlineStr">
        <is>
          <t>Ⅰ · ЛИЧНОСТЬ И МОТИВАЦИЯ  ·  БЛОК ПСИХОПРОФИЛЯ</t>
        </is>
      </c>
    </row>
    <row r="17" ht="34" customHeight="1">
      <c r="B17" s="8" t="inlineStr">
        <is>
          <t>ЛИЧНОСТЬ (PERSONALITY)</t>
        </is>
      </c>
      <c r="C17" s="9" t="inlineStr">
        <is>
          <t>Старый коп с протоколом вместо сердца. Говорит тихо, смотрит в глаза и почти никогда не повышает голос.</t>
        </is>
      </c>
      <c r="D17" s="18" t="n"/>
      <c r="E17" s="18" t="n"/>
      <c r="F17" s="18" t="n"/>
      <c r="G17" s="19" t="n"/>
    </row>
    <row r="18" ht="30" customHeight="1">
      <c r="B18" s="8" t="inlineStr">
        <is>
          <t>ЧТО ЦЕНИТ БОЛЬШЕ ВСЕГО</t>
        </is>
      </c>
      <c r="C18" s="9" t="inlineStr">
        <is>
          <t>Порядок. Не закон — порядок: чтобы человек мог спокойно дойти до дома по своей улице.</t>
        </is>
      </c>
      <c r="D18" s="18" t="n"/>
      <c r="E18" s="18" t="n"/>
      <c r="F18" s="18" t="n"/>
      <c r="G18" s="19" t="n"/>
    </row>
    <row r="19" ht="30" customHeight="1">
      <c r="B19" s="8" t="inlineStr">
        <is>
          <t>КАК ОТНОСИТСЯ К ЛЮДЯМ</t>
        </is>
      </c>
      <c r="C19" s="9" t="inlineStr">
        <is>
          <t>Считает, что большинство людей не злые, а испуганные. Ошибается реже, чем боится.</t>
        </is>
      </c>
      <c r="D19" s="18" t="n"/>
      <c r="E19" s="18" t="n"/>
      <c r="F19" s="18" t="n"/>
      <c r="G19" s="19" t="n"/>
    </row>
    <row r="20" ht="30" customHeight="1">
      <c r="B20" s="8" t="inlineStr">
        <is>
          <t>МОРАЛЬНЫЙ КОМПАС (ПО ЛАЙФПАТУ)</t>
        </is>
      </c>
      <c r="C20" s="9" t="inlineStr">
        <is>
          <t>5 — ЖЁСТКИЙ: гнёт правила и закон ради результата. Лишнего не делает, но и не мучается выбором.</t>
        </is>
      </c>
      <c r="D20" s="18" t="n"/>
      <c r="E20" s="18" t="n"/>
      <c r="F20" s="18" t="n"/>
      <c r="G20" s="19" t="n"/>
    </row>
    <row r="21" ht="30" customHeight="1">
      <c r="B21" s="8" t="inlineStr">
        <is>
          <t>ЦЕЛЬ ЖИЗНИ / ЗАЧЕМ ОН В ЭТОМ</t>
        </is>
      </c>
      <c r="C21" s="9" t="inlineStr">
        <is>
          <t>Закрыть дело о корпоративном складе, из-за которого его выкинули из управления, — и вернуть себе имя.</t>
        </is>
      </c>
      <c r="D21" s="18" t="n"/>
      <c r="E21" s="18" t="n"/>
      <c r="F21" s="18" t="n"/>
      <c r="G21" s="19" t="n"/>
    </row>
    <row r="22" ht="30" customHeight="1">
      <c r="B22" s="8" t="inlineStr">
        <is>
          <t>ЧЕГО НИКОГДА НЕ СДЕЛАЕТ</t>
        </is>
      </c>
      <c r="C22" s="9" t="inlineStr">
        <is>
          <t>Не тронет ребёнка. Не сдаст того, кто ему доверился, — даже если это стоило ему значка.</t>
        </is>
      </c>
      <c r="D22" s="18" t="n"/>
      <c r="E22" s="18" t="n"/>
      <c r="F22" s="18" t="n"/>
      <c r="G22" s="19" t="n"/>
    </row>
    <row r="23" ht="30" customHeight="1">
      <c r="B23" s="8" t="inlineStr">
        <is>
          <t>СЛАБОСТЬ / НА ЧЁМ ЕГО ВЗЯТЬ</t>
        </is>
      </c>
      <c r="C23" s="9" t="inlineStr">
        <is>
          <t>Старые связи: звонок «Джек, надо» — и он едет, даже если понимает, что это подстава.</t>
        </is>
      </c>
      <c r="D23" s="18" t="n"/>
      <c r="E23" s="18" t="n"/>
      <c r="F23" s="18" t="n"/>
      <c r="G23" s="19" t="n"/>
    </row>
    <row r="25">
      <c r="B25" s="17" t="inlineStr">
        <is>
          <t>Ⅱ · СЛУЖБА  ·  ROLE LIFEPATH (LAWMAN / NCPD — В ОТСТАВКЕ)</t>
        </is>
      </c>
    </row>
    <row r="26" ht="18" customHeight="1">
      <c r="B26" s="8" t="inlineStr">
        <is>
          <t>ДОЛЖНОСТЬ В ПОДРАЗДЕЛЕНИИ</t>
        </is>
      </c>
      <c r="C26" s="9" t="inlineStr">
        <is>
          <t>Уголовный следователь</t>
        </is>
      </c>
      <c r="D26" s="18" t="n"/>
      <c r="E26" s="18" t="n"/>
      <c r="F26" s="18" t="n"/>
      <c r="G26" s="19" t="n"/>
    </row>
    <row r="27" ht="18" customHeight="1">
      <c r="B27" s="8" t="inlineStr">
        <is>
          <t>ЮРИСДИКЦИЯ ПОДРАЗДЕЛЕНИЯ</t>
        </is>
      </c>
      <c r="C27" s="9" t="inlineStr">
        <is>
          <t>Боевые зоны</t>
        </is>
      </c>
      <c r="D27" s="18" t="n"/>
      <c r="E27" s="18" t="n"/>
      <c r="F27" s="18" t="n"/>
      <c r="G27" s="19" t="n"/>
    </row>
    <row r="28" ht="18" customHeight="1">
      <c r="B28" s="8" t="inlineStr">
        <is>
          <t>КОРРУМПИРОВАННОСТЬ ПОДРАЗДЕЛЕНИЯ</t>
        </is>
      </c>
      <c r="C28" s="9" t="inlineStr">
        <is>
          <t>Честная, но суровая</t>
        </is>
      </c>
      <c r="D28" s="18" t="n"/>
      <c r="E28" s="18" t="n"/>
      <c r="F28" s="18" t="n"/>
      <c r="G28" s="19" t="n"/>
    </row>
    <row r="29" ht="18" customHeight="1">
      <c r="B29" s="8" t="inlineStr">
        <is>
          <t>КТО ОХОТИТСЯ НА ПОДРАЗДЕЛЕНИЕ</t>
        </is>
      </c>
      <c r="C29" s="9" t="inlineStr">
        <is>
          <t>Организованная преступность</t>
        </is>
      </c>
      <c r="D29" s="18" t="n"/>
      <c r="E29" s="18" t="n"/>
      <c r="F29" s="18" t="n"/>
      <c r="G29" s="19" t="n"/>
    </row>
    <row r="30" ht="18" customHeight="1">
      <c r="B30" s="8" t="inlineStr">
        <is>
          <t>ГЛАВНАЯ ЦЕЛЬ ПОДРАЗДЕЛЕНИЯ</t>
        </is>
      </c>
      <c r="C30" s="9" t="inlineStr">
        <is>
          <t>Организованная преступность</t>
        </is>
      </c>
      <c r="D30" s="18" t="n"/>
      <c r="E30" s="18" t="n"/>
      <c r="F30" s="18" t="n"/>
      <c r="G30" s="19" t="n"/>
    </row>
    <row r="31" ht="30" customHeight="1">
      <c r="B31" s="8" t="inlineStr">
        <is>
          <t>ЗА ЧТО УШЁЛ СО СЛУЖБЫ / ЧТО СЛУЧИЛОСЬ (ЕГО ВЕРСИЯ)</t>
        </is>
      </c>
      <c r="C31" s="9" t="inlineStr">
        <is>
          <t>Вёл дело о поставках оружия в боевые зоны и докопался до корпоративного склада. Сверху приказали дело закрыть — он отказался и продолжил копать. Через месяц его попросили на выход: «по собственному желанию», с пенсией и без значка. Официальная версия — «выгорание».</t>
        </is>
      </c>
      <c r="D31" s="18" t="n"/>
      <c r="E31" s="18" t="n"/>
      <c r="F31" s="18" t="n"/>
      <c r="G31" s="19" t="n"/>
    </row>
    <row r="32" ht="30" customHeight="1">
      <c r="B32" s="8" t="inlineStr">
        <is>
          <t>ЧТО ОН НА САМОМ ДЕЛЕ СКРЫВАЕТ О ТОМ ДЕЛЕ</t>
        </is>
      </c>
      <c r="C32" s="9" t="inlineStr">
        <is>
          <t>Что знает, чем именно торговал склад, и что в деле есть фамилия человека, который сейчас сидит в управлении. Доказательств нет — поэтому он молчит и до сих пор жив.</t>
        </is>
      </c>
      <c r="D32" s="18" t="n"/>
      <c r="E32" s="18" t="n"/>
      <c r="F32" s="18" t="n"/>
      <c r="G32" s="19" t="n"/>
    </row>
    <row r="33" ht="24" customHeight="1">
      <c r="B33" s="8" t="inlineStr">
        <is>
          <t>КАКИЕ СВЯЗИ В УПРАВЛЕНИИ ОСТАЛИСЬ (ЗВОНИТЬ МОЖНО КОМУ)</t>
        </is>
      </c>
      <c r="C33" s="9" t="inlineStr">
        <is>
          <t>Сержант из архива — достаёт копии закрытых дел за бутылку. Медэксперт со старых времён — осмотрит тихо и не оставит следов в системе.</t>
        </is>
      </c>
      <c r="D33" s="18" t="n"/>
      <c r="E33" s="18" t="n"/>
      <c r="F33" s="18" t="n"/>
      <c r="G33" s="19" t="n"/>
    </row>
    <row r="34" ht="24" customHeight="1">
      <c r="B34" s="8" t="inlineStr">
        <is>
          <t>ПОДПИСКИ И РЕГУЛЯРНЫЕ ТРАТЫ (TRAUMA TEAM, ЖИЛЬЁ, ДОЛГИ)</t>
        </is>
      </c>
      <c r="C34" s="9" t="inlineStr">
        <is>
          <t>Наличных на старте нет — вышел из управления с нулём, всё до последнего евродоллара ушло в снаряжение. Жильё — контейнер в боевых зонах: жильё 1 000 €$ + Kibble 100 €$/мес = 1 100 €$ к 1-му числу каждого месяца (первый месяц покрыт). Подписок нет: Trauma Team Silver (500 €$/мес) не по карману — копит на разовый вызов с первых дел. Долгов нет, кредитная история убита вместе с карьерой.</t>
        </is>
      </c>
      <c r="D34" s="18" t="n"/>
      <c r="E34" s="18" t="n"/>
      <c r="F34" s="18" t="n"/>
      <c r="G34" s="19" t="n"/>
    </row>
    <row r="35" ht="30" customHeight="1">
      <c r="B35" s="8" t="inlineStr">
        <is>
          <t>КТО НА НЕГО ОХОТИТСЯ (WHO'S GUNNING FOR YOU)</t>
        </is>
      </c>
      <c r="C35" s="9" t="inlineStr">
        <is>
          <t>Корпоративная служба безопасности того склада — и она умеет ждать. Второй в очереди — бустерганг «Ржавые Псы», которого он тогда не закрыл.</t>
        </is>
      </c>
      <c r="D35" s="18" t="n"/>
      <c r="E35" s="18" t="n"/>
      <c r="F35" s="18" t="n"/>
      <c r="G35" s="19" t="n"/>
    </row>
    <row r="36" ht="30" customHeight="1">
      <c r="B36" s="8" t="inlineStr">
        <is>
          <t>РЕПУТАЦИЯ НА УЛИЦАХ / ЧЕМ ИЗВЕСТЕН</t>
        </is>
      </c>
      <c r="C36" s="9" t="inlineStr">
        <is>
          <t>В боевых зонах его знают как копа, который не брал процент и не сдавал своих.</t>
        </is>
      </c>
      <c r="D36" s="18" t="n"/>
      <c r="E36" s="18" t="n"/>
      <c r="F36" s="18" t="n"/>
      <c r="G36" s="19" t="n"/>
    </row>
    <row r="37" ht="24" customHeight="1">
      <c r="B37" s="8" t="inlineStr">
        <is>
          <t>ТЕКУЩИЙ РАБОТОДАТЕЛЬ / ФИКСЕР</t>
        </is>
      </c>
      <c r="C37" s="9" t="inlineStr">
        <is>
          <t>Работает через фиксера средней руки (имя впиши сам — он ещё не назвался). Берёт и «левые» дела, если цель понятна.</t>
        </is>
      </c>
      <c r="D37" s="18" t="n"/>
      <c r="E37" s="18" t="n"/>
      <c r="F37" s="18" t="n"/>
      <c r="G37" s="19" t="n"/>
    </row>
    <row r="38" ht="30" customHeight="1">
      <c r="B38" s="8" t="inlineStr">
        <is>
          <t>ПРАВИЛА РАБОТЫ (КАК БЕРЁТ КОНТРАКТЫ)</t>
        </is>
      </c>
      <c r="C38" s="9" t="inlineStr">
        <is>
          <t>Три вопроса перед делом: кто пострадает, кто платит, что будет, если он откажется.</t>
        </is>
      </c>
      <c r="D38" s="18" t="n"/>
      <c r="E38" s="18" t="n"/>
      <c r="F38" s="18" t="n"/>
      <c r="G38" s="19" t="n"/>
    </row>
    <row r="40">
      <c r="B40" s="17" t="inlineStr">
        <is>
          <t>Ⅲ · ПРОШЛОЕ  ·  GENERAL LIFEPATH</t>
        </is>
      </c>
    </row>
    <row r="41" ht="30" customHeight="1">
      <c r="B41" s="8" t="inlineStr">
        <is>
          <t>СЕМЬЯ / ДЕТСТВО</t>
        </is>
      </c>
      <c r="C41" s="9" t="inlineStr">
        <is>
          <t>Вырос в боевых зонах Хейвуда: мать работала медсестрой в бесплатной клинике, отец ушёл в банду и не вернулся.</t>
        </is>
      </c>
      <c r="D41" s="18" t="n"/>
      <c r="E41" s="18" t="n"/>
      <c r="F41" s="18" t="n"/>
      <c r="G41" s="19" t="n"/>
    </row>
    <row r="42" ht="30" customHeight="1">
      <c r="B42" s="8" t="inlineStr">
        <is>
          <t>СЕМЕЙНЫЙ КРИЗИС</t>
        </is>
      </c>
      <c r="C42" s="9" t="inlineStr">
        <is>
          <t>Мать погибла от шальной пули в перекрёстном огне — в тот год он и подал документы в академию NCPD.</t>
        </is>
      </c>
      <c r="D42" s="18" t="n"/>
      <c r="E42" s="18" t="n"/>
      <c r="F42" s="18" t="n"/>
      <c r="G42" s="19" t="n"/>
    </row>
    <row r="43" ht="30" customHeight="1">
      <c r="B43" s="8" t="inlineStr">
        <is>
          <t>ДРУЗЬЯ</t>
        </is>
      </c>
      <c r="C43" s="9" t="inlineStr">
        <is>
          <t>Двое: сержант из архива, который всё ещё берёт трубку, и брат бывшего напарника, который его ненавидит.</t>
        </is>
      </c>
      <c r="D43" s="18" t="n"/>
      <c r="E43" s="18" t="n"/>
      <c r="F43" s="18" t="n"/>
      <c r="G43" s="19" t="n"/>
    </row>
    <row r="44" ht="30" customHeight="1">
      <c r="B44" s="8" t="inlineStr">
        <is>
          <t>РОМАНТИЧЕСКИЕ СВЯЗИ</t>
        </is>
      </c>
      <c r="C44" s="9" t="inlineStr">
        <is>
          <t>Разведён. Жена не выдержала графика, ночных звонков и того, что он приносил работу домой.</t>
        </is>
      </c>
      <c r="D44" s="18" t="n"/>
      <c r="E44" s="18" t="n"/>
      <c r="F44" s="18" t="n"/>
      <c r="G44" s="19" t="n"/>
    </row>
    <row r="45" ht="30" customHeight="1">
      <c r="B45" s="8" t="inlineStr">
        <is>
          <t>ВРАГИ</t>
        </is>
      </c>
      <c r="C45" s="9" t="inlineStr">
        <is>
          <t>Корпоративная безопасность (дело о складе) и бустерганг «Ржавые Псы», который он не смог закрыть по закону.</t>
        </is>
      </c>
      <c r="D45" s="18" t="n"/>
      <c r="E45" s="18" t="n"/>
      <c r="F45" s="18" t="n"/>
      <c r="G45" s="19" t="n"/>
    </row>
    <row r="46" ht="30" customHeight="1">
      <c r="B46" s="8" t="inlineStr">
        <is>
          <t>ПЕРЕЛОМНЫЙ МОМЕНТ</t>
        </is>
      </c>
      <c r="C46" s="9" t="inlineStr">
        <is>
          <t>Тот день, когда он вышел из кабинета начальника после отказа закрыть дело, — и понял, что обратно дороги нет.</t>
        </is>
      </c>
      <c r="D46" s="18" t="n"/>
      <c r="E46" s="18" t="n"/>
      <c r="F46" s="18" t="n"/>
      <c r="G46" s="19" t="n"/>
    </row>
    <row r="48">
      <c r="B48" s="17" t="inlineStr">
        <is>
          <t>Ⅳ · СВЯЗИ  ·  КТО МОЖЕТ ПОМОЧЬ ИЛИ ПОДСТАВИТЬ</t>
        </is>
      </c>
    </row>
    <row r="49">
      <c r="B49" s="20" t="inlineStr">
        <is>
          <t>КТО</t>
        </is>
      </c>
      <c r="C49" s="20" t="inlineStr">
        <is>
          <t>РОЛЬ В ЖИЗНИ</t>
        </is>
      </c>
      <c r="D49" s="20" t="inlineStr">
        <is>
          <t>КАК НАЙТИ / КОНТАКТ</t>
        </is>
      </c>
      <c r="F49" s="20" t="inlineStr">
        <is>
          <t>ЧЕМ ПОЛЕЗЕН</t>
        </is>
      </c>
      <c r="G49" s="20" t="inlineStr">
        <is>
          <t>ЧЕМ ОПАСЕН</t>
        </is>
      </c>
    </row>
    <row r="50" ht="20" customHeight="1">
      <c r="B50" s="21" t="inlineStr">
        <is>
          <t>Сержант в архиве NCPD</t>
        </is>
      </c>
      <c r="C50" s="21" t="inlineStr">
        <is>
          <t>Старый сослуживец</t>
        </is>
      </c>
      <c r="D50" s="21" t="inlineStr">
        <is>
          <t>Бар «У Дока», Хейвуд · по вторникам</t>
        </is>
      </c>
      <c r="E50" s="19" t="n"/>
      <c r="F50" s="21" t="inlineStr">
        <is>
          <t>Копии закрытых дел, старые адреса, кто из копов ещё на связи</t>
        </is>
      </c>
      <c r="G50" s="21" t="n"/>
    </row>
    <row r="51" ht="20" customHeight="1">
      <c r="B51" s="21" t="inlineStr">
        <is>
          <t>Медэксперт со старых дел</t>
        </is>
      </c>
      <c r="C51" s="21" t="inlineStr">
        <is>
          <t>Должник</t>
        </is>
      </c>
      <c r="D51" s="21" t="inlineStr">
        <is>
          <t>Клиника в Хейвуде, без записи</t>
        </is>
      </c>
      <c r="E51" s="19" t="n"/>
      <c r="F51" s="21" t="inlineStr">
        <is>
          <t>Осмотрит, зашьёт и не оставит следа в системе</t>
        </is>
      </c>
      <c r="G51" s="21" t="n"/>
    </row>
    <row r="52" ht="20" customHeight="1">
      <c r="B52" s="21" t="inlineStr">
        <is>
          <t>Фиксер средней руки</t>
        </is>
      </c>
      <c r="C52" s="21" t="inlineStr">
        <is>
          <t>Работодатель</t>
        </is>
      </c>
      <c r="D52" s="21" t="inlineStr">
        <is>
          <t>Через Агента: номер знают только свои</t>
        </is>
      </c>
      <c r="E52" s="19" t="n"/>
      <c r="F52" s="21" t="inlineStr">
        <is>
          <t>Контракты, наводки, выход на нужных людей</t>
        </is>
      </c>
      <c r="G52" s="21" t="n"/>
    </row>
    <row r="53" ht="20" customHeight="1">
      <c r="B53" s="21" t="inlineStr">
        <is>
          <t>Информатор «Птица»</t>
        </is>
      </c>
      <c r="C53" s="21" t="inlineStr">
        <is>
          <t>Осведомитель из боевых зон</t>
        </is>
      </c>
      <c r="D53" s="21" t="inlineStr">
        <is>
          <t>Уотсон, у рынка — спросить у детей</t>
        </is>
      </c>
      <c r="E53" s="19" t="n"/>
      <c r="F53" s="21" t="inlineStr">
        <is>
          <t>Кто где стоит, кто кого заказал, что говорят на улице</t>
        </is>
      </c>
      <c r="G53" s="21" t="n"/>
    </row>
    <row r="54" ht="20" customHeight="1">
      <c r="B54" s="21" t="n"/>
      <c r="C54" s="21" t="n"/>
      <c r="D54" s="21" t="n"/>
      <c r="E54" s="19" t="n"/>
      <c r="F54" s="21" t="n"/>
      <c r="G54" s="21" t="n"/>
    </row>
    <row r="55" ht="20" customHeight="1">
      <c r="B55" s="21" t="n"/>
      <c r="C55" s="21" t="n"/>
      <c r="D55" s="21" t="n"/>
      <c r="E55" s="19" t="n"/>
      <c r="F55" s="21" t="n"/>
      <c r="G55" s="21" t="n"/>
    </row>
    <row r="57">
      <c r="B57" s="17" t="inlineStr">
        <is>
          <t>Ⅴ · СЛУЖЕБНАЯ СВОДКА  ·  СЧИТАЕТСЯ АВТОМАТИЧЕСКИ</t>
        </is>
      </c>
    </row>
    <row r="58" ht="18" customHeight="1">
      <c r="B58" s="8" t="inlineStr">
        <is>
          <t>HP (ТЕКУЩИЕ / МАКСИМУМ)</t>
        </is>
      </c>
      <c r="C58" s="19" t="n"/>
      <c r="D58" s="22">
        <f>'02 ОСНОВА'!$D$25&amp;" / "&amp;'02 ОСНОВА'!$D$24</f>
        <v/>
      </c>
      <c r="E58" s="18" t="n"/>
      <c r="F58" s="18" t="n"/>
      <c r="G58" s="19" t="n"/>
    </row>
    <row r="59" ht="18" customHeight="1">
      <c r="B59" s="8" t="inlineStr">
        <is>
          <t>ПОРОГ «СЕРЬЁЗНО РАНЕН»</t>
        </is>
      </c>
      <c r="C59" s="19" t="n"/>
      <c r="D59" s="22">
        <f>'02 ОСНОВА'!$D$26</f>
        <v/>
      </c>
      <c r="E59" s="18" t="n"/>
      <c r="F59" s="18" t="n"/>
      <c r="G59" s="19" t="n"/>
    </row>
    <row r="60" ht="18" customHeight="1">
      <c r="B60" s="8" t="inlineStr">
        <is>
          <t>СПАСБРОСОК СМЕРТИ (BODY)</t>
        </is>
      </c>
      <c r="C60" s="19" t="n"/>
      <c r="D60" s="22">
        <f>'02 ОСНОВА'!$D$27&amp;" − "&amp;'02 ОСНОВА'!$D$28&amp;" штраф"</f>
        <v/>
      </c>
      <c r="E60" s="18" t="n"/>
      <c r="F60" s="18" t="n"/>
      <c r="G60" s="19" t="n"/>
    </row>
    <row r="61" ht="18" customHeight="1">
      <c r="B61" s="8" t="inlineStr">
        <is>
          <t>HUMANITY (ТЕКУЩАЯ / МАКСИМУМ)</t>
        </is>
      </c>
      <c r="C61" s="19" t="n"/>
      <c r="D61" s="22">
        <f>'02 ОСНОВА'!$D$36&amp;" / "&amp;'02 ОСНОВА'!$D$33</f>
        <v/>
      </c>
      <c r="E61" s="18" t="n"/>
      <c r="F61" s="18" t="n"/>
      <c r="G61" s="19" t="n"/>
    </row>
    <row r="62" ht="18" customHeight="1">
      <c r="B62" s="8" t="inlineStr">
        <is>
          <t>EMP ТЕКУЩАЯ</t>
        </is>
      </c>
      <c r="C62" s="19" t="n"/>
      <c r="D62" s="22">
        <f>'02 ОСНОВА'!$D$37</f>
        <v/>
      </c>
      <c r="E62" s="18" t="n"/>
      <c r="F62" s="18" t="n"/>
      <c r="G62" s="19" t="n"/>
    </row>
    <row r="63" ht="18" customHeight="1">
      <c r="B63" s="8" t="inlineStr">
        <is>
          <t>СОСТОЯНИЕ РАН</t>
        </is>
      </c>
      <c r="C63" s="19" t="n"/>
      <c r="D63" s="22">
        <f>'02 ОСНОВА'!$G$3</f>
        <v/>
      </c>
      <c r="E63" s="18" t="n"/>
      <c r="F63" s="18" t="n"/>
      <c r="G63" s="19" t="n"/>
    </row>
    <row r="64" ht="18" customHeight="1">
      <c r="B64" s="8" t="inlineStr">
        <is>
          <t>БРОНЯ: SP ГОЛОВЫ / ТЕЛА</t>
        </is>
      </c>
      <c r="C64" s="19" t="n"/>
      <c r="D64" s="22">
        <f>'05 СНАРЯЖЕНИЕ'!$D$27&amp;" / "&amp;'05 СНАРЯЖЕНИЕ'!$D$28</f>
        <v/>
      </c>
      <c r="E64" s="18" t="n"/>
      <c r="F64" s="18" t="n"/>
      <c r="G64" s="19" t="n"/>
    </row>
    <row r="65" ht="18" customHeight="1">
      <c r="B65" s="8" t="inlineStr">
        <is>
          <t>ЩИТ (HP)</t>
        </is>
      </c>
      <c r="C65" s="19" t="n"/>
      <c r="D65" s="22">
        <f>'05 СНАРЯЖЕНИЕ'!$D$29</f>
        <v/>
      </c>
      <c r="E65" s="18" t="n"/>
      <c r="F65" s="18" t="n"/>
      <c r="G65" s="19" t="n"/>
    </row>
    <row r="66" ht="18" customHeight="1">
      <c r="B66" s="8" t="inlineStr">
        <is>
          <t>ОСНОВНОЕ ОРУЖИЕ (СЛОТ 1)</t>
        </is>
      </c>
      <c r="C66" s="19" t="n"/>
      <c r="D66" s="22">
        <f>IFERROR(INDEX('05 СНАРЯЖЕНИЕ'!$C$9:$C$16,MATCH(1,'05 СНАРЯЖЕНИЕ'!$K$9:$K$16,0)),"—")</f>
        <v/>
      </c>
      <c r="E66" s="18" t="n"/>
      <c r="F66" s="18" t="n"/>
      <c r="G66" s="19" t="n"/>
    </row>
    <row r="67" ht="18" customHeight="1">
      <c r="B67" s="8" t="inlineStr">
        <is>
          <t>БАЗА АТАКИ ОСНОВНОГО (+1D10)</t>
        </is>
      </c>
      <c r="C67" s="19" t="n"/>
      <c r="D67" s="22">
        <f>IFERROR(INDEX('05 СНАРЯЖЕНИЕ'!$L$9:$L$16,MATCH(1,'05 СНАРЯЖЕНИЕ'!$K$9:$K$16,0)),"—")</f>
        <v/>
      </c>
      <c r="E67" s="18" t="n"/>
      <c r="F67" s="18" t="n"/>
      <c r="G67" s="19" t="n"/>
    </row>
    <row r="68" ht="18" customHeight="1">
      <c r="B68" s="8" t="inlineStr">
        <is>
          <t>АКТИВНЫХ КРИТ-ТРАВМ</t>
        </is>
      </c>
      <c r="C68" s="19" t="n"/>
      <c r="D68" s="22">
        <f>COUNTIF('06 СОСТОЯНИЕ'!$I$8:$I$17,"Активна")</f>
        <v/>
      </c>
      <c r="E68" s="18" t="n"/>
      <c r="F68" s="18" t="n"/>
      <c r="G68" s="19" t="n"/>
    </row>
    <row r="69" ht="18" customHeight="1">
      <c r="B69" s="8" t="inlineStr">
        <is>
          <t>НАЛИЧНЫЕ €$ (СТАРТ + ИГРА)</t>
        </is>
      </c>
      <c r="C69" s="19" t="n"/>
      <c r="D69" s="22">
        <f>'05 СНАРЯЖЕНИЕ'!$D$5</f>
        <v/>
      </c>
      <c r="E69" s="18" t="n"/>
      <c r="F69" s="18" t="n"/>
      <c r="G69" s="19" t="n"/>
    </row>
    <row r="70" ht="18" customHeight="1">
      <c r="B70" s="8" t="inlineStr">
        <is>
          <t>IP: ЗАРАБОТАНО / СВОБОДНО</t>
        </is>
      </c>
      <c r="C70" s="19" t="n"/>
      <c r="D70" s="22">
        <f>'06 СОСТОЯНИЕ'!$D$61&amp;" / "&amp;'06 СОСТОЯНИЕ'!$D$63</f>
        <v/>
      </c>
      <c r="E70" s="18" t="n"/>
      <c r="F70" s="18" t="n"/>
      <c r="G70" s="19" t="n"/>
    </row>
    <row r="71" ht="18" customHeight="1">
      <c r="B71" s="8" t="inlineStr">
        <is>
          <t>BACKUP: РАНГ · ТИР ПОДКРЕПЛЕНИЯ</t>
        </is>
      </c>
      <c r="C71" s="19" t="n"/>
      <c r="D71" s="22">
        <f>'02 ОСНОВА'!$G$2&amp;" → вызов 1d10 ≤ "&amp;'02 ОСНОВА'!$G$2&amp;"; тир: "&amp;IF('02 ОСНОВА'!$G$2&lt;=2,"1–2 · корпоративная охрана",IF('02 ОСНОВА'!$G$2&lt;=4,"3–4 · патрульные",IF('02 ОСНОВА'!$G$2&lt;=7,"5–7 · департамент шерифа",IF('02 ОСНОВА'!$G$2=8,"8 · маршал зоны восстановления",IF('02 ОСНОВА'!$G$2=9,"9 · C-SWAT","10 · национальные силы")))))</f>
        <v/>
      </c>
      <c r="E71" s="18" t="n"/>
      <c r="F71" s="18" t="n"/>
      <c r="G71" s="19" t="n"/>
    </row>
    <row r="73">
      <c r="B73" s="17" t="inlineStr">
        <is>
          <t>Ⅵ · ЗАМЕТКИ ОТДЕЛА  ·  СВОБОДНАЯ ЗАПИСЬ GM И ИГРОКА</t>
        </is>
      </c>
    </row>
    <row r="74" ht="22" customHeight="1">
      <c r="B74" s="9" t="n"/>
      <c r="C74" s="23" t="n"/>
      <c r="D74" s="23" t="n"/>
      <c r="E74" s="23" t="n"/>
      <c r="F74" s="23" t="n"/>
      <c r="G74" s="24" t="n"/>
    </row>
    <row r="75" ht="22" customHeight="1">
      <c r="B75" s="25" t="n"/>
      <c r="G75" s="26" t="n"/>
    </row>
    <row r="76" ht="22" customHeight="1">
      <c r="B76" s="25" t="n"/>
      <c r="G76" s="26" t="n"/>
    </row>
    <row r="77" ht="22" customHeight="1">
      <c r="B77" s="25" t="n"/>
      <c r="G77" s="26" t="n"/>
    </row>
    <row r="78" ht="22" customHeight="1">
      <c r="B78" s="25" t="n"/>
      <c r="G78" s="26" t="n"/>
    </row>
    <row r="79" ht="22" customHeight="1">
      <c r="B79" s="27" t="n"/>
      <c r="C79" s="28" t="n"/>
      <c r="D79" s="28" t="n"/>
      <c r="E79" s="28" t="n"/>
      <c r="F79" s="28" t="n"/>
      <c r="G79" s="29" t="n"/>
    </row>
    <row r="80">
      <c r="B80" s="17" t="inlineStr">
        <is>
          <t>Ⅶ · ГРАНИЦЫ БЕЗОПАСНОСТИ (LINES / VEILS / X-CARD)</t>
        </is>
      </c>
    </row>
    <row r="81" ht="22" customHeight="1">
      <c r="B81" s="8" t="inlineStr">
        <is>
          <t>СТОП-ТЕМЫ (LINES)</t>
        </is>
      </c>
      <c r="C81" s="19" t="n"/>
      <c r="D81" s="9" t="n"/>
      <c r="E81" s="18" t="n"/>
      <c r="F81" s="18" t="n"/>
      <c r="G81" s="19" t="n"/>
    </row>
    <row r="82" ht="22" customHeight="1">
      <c r="B82" s="8" t="inlineStr">
        <is>
          <t>УВОДИМ БЕЗ ДЕТАЛЕЙ (VEILS)</t>
        </is>
      </c>
      <c r="C82" s="19" t="n"/>
      <c r="D82" s="9" t="n"/>
      <c r="E82" s="18" t="n"/>
      <c r="F82" s="18" t="n"/>
      <c r="G82" s="19" t="n"/>
    </row>
    <row r="84">
      <c r="B84" s="6" t="inlineStr">
        <is>
          <t>ЗАПИСЬ ВЁЛ: ________________     ПЕЧАТЬ: NC//NET · 2070     ПОДПИСЬ GM: ________________</t>
        </is>
      </c>
    </row>
    <row r="85">
      <c r="B85" s="6" t="inlineStr">
        <is>
          <t>ФАЙЛ: 01 ДОСЬЕ · ИСТОЧНИКИ: Cyberpunk RED Corebook, CEMK (2070-е), гайд «Spes Desperata»</t>
        </is>
      </c>
    </row>
  </sheetData>
  <mergeCells count="81">
    <mergeCell ref="D68:G68"/>
    <mergeCell ref="D82:G82"/>
    <mergeCell ref="B73:G73"/>
    <mergeCell ref="C45:G45"/>
    <mergeCell ref="C29:G29"/>
    <mergeCell ref="D59:G59"/>
    <mergeCell ref="B67:C67"/>
    <mergeCell ref="D60:G60"/>
    <mergeCell ref="C44:G44"/>
    <mergeCell ref="B61:C61"/>
    <mergeCell ref="C31:G31"/>
    <mergeCell ref="B69:C69"/>
    <mergeCell ref="C21:G21"/>
    <mergeCell ref="C23:G23"/>
    <mergeCell ref="B14:E14"/>
    <mergeCell ref="D70:G70"/>
    <mergeCell ref="B64:C64"/>
    <mergeCell ref="D51:E51"/>
    <mergeCell ref="B63:C63"/>
    <mergeCell ref="C18:G18"/>
    <mergeCell ref="D62:G62"/>
    <mergeCell ref="D71:G71"/>
    <mergeCell ref="C34:G34"/>
    <mergeCell ref="D58:G58"/>
    <mergeCell ref="C42:G42"/>
    <mergeCell ref="B1:G1"/>
    <mergeCell ref="D64:G64"/>
    <mergeCell ref="B66:C66"/>
    <mergeCell ref="C20:G20"/>
    <mergeCell ref="B3:E3"/>
    <mergeCell ref="C22:G22"/>
    <mergeCell ref="D53:E53"/>
    <mergeCell ref="C46:G46"/>
    <mergeCell ref="B25:G25"/>
    <mergeCell ref="D61:G61"/>
    <mergeCell ref="C32:G32"/>
    <mergeCell ref="C38:G38"/>
    <mergeCell ref="F6:G13"/>
    <mergeCell ref="B81:C81"/>
    <mergeCell ref="C33:G33"/>
    <mergeCell ref="B74:G79"/>
    <mergeCell ref="B71:C71"/>
    <mergeCell ref="C26:G26"/>
    <mergeCell ref="B58:C58"/>
    <mergeCell ref="C35:G35"/>
    <mergeCell ref="D52:E52"/>
    <mergeCell ref="B84:G84"/>
    <mergeCell ref="D49:E49"/>
    <mergeCell ref="B60:C60"/>
    <mergeCell ref="B40:G40"/>
    <mergeCell ref="D63:G63"/>
    <mergeCell ref="D81:G81"/>
    <mergeCell ref="B82:C82"/>
    <mergeCell ref="B80:G80"/>
    <mergeCell ref="D65:G65"/>
    <mergeCell ref="B16:G16"/>
    <mergeCell ref="D55:E55"/>
    <mergeCell ref="D66:G66"/>
    <mergeCell ref="C28:G28"/>
    <mergeCell ref="C37:G37"/>
    <mergeCell ref="D54:E54"/>
    <mergeCell ref="B2:G2"/>
    <mergeCell ref="C30:G30"/>
    <mergeCell ref="B62:C62"/>
    <mergeCell ref="B59:C59"/>
    <mergeCell ref="B57:G57"/>
    <mergeCell ref="D67:G67"/>
    <mergeCell ref="B70:C70"/>
    <mergeCell ref="B4:E4"/>
    <mergeCell ref="D69:G69"/>
    <mergeCell ref="C41:G41"/>
    <mergeCell ref="C43:G43"/>
    <mergeCell ref="B85:G85"/>
    <mergeCell ref="C27:G27"/>
    <mergeCell ref="C36:G36"/>
    <mergeCell ref="B65:C65"/>
    <mergeCell ref="C17:G17"/>
    <mergeCell ref="B68:C68"/>
    <mergeCell ref="C19:G19"/>
    <mergeCell ref="D50:E50"/>
    <mergeCell ref="B48:G48"/>
  </mergeCells>
  <conditionalFormatting sqref="G3">
    <cfRule type="expression" priority="1" dxfId="0" stopIfTrue="0">
      <formula>$G$3="АКТИВЕН"</formula>
    </cfRule>
    <cfRule type="expression" priority="2" dxfId="1" stopIfTrue="0">
      <formula>OR($G$3="АРХИВ",$G$3="МЁРТВ",$G$3="РАЗЫСКИВАЕТСЯ")</formula>
    </cfRule>
  </conditionalFormatting>
  <dataValidations count="6">
    <dataValidation sqref="G3" showDropDown="0" showInputMessage="0" showErrorMessage="0" allowBlank="1" type="list">
      <formula1>"АКТИВЕН,НАБЛЮДЕНИЕ,РАЗЫСКИВАЕТСЯ,АРХИВ,МЁРТВ"</formula1>
    </dataValidation>
    <dataValidation sqref="C26" showDropDown="0" showInputMessage="0" showErrorMessage="0" allowBlank="1" type="list">
      <formula1>"Охранник,Патрульный,Уголовный следователь,Спецназ,Мотопатруль,Внутренняя безопасность"</formula1>
    </dataValidation>
    <dataValidation sqref="C27" showDropDown="0" showInputMessage="0" showErrorMessage="0" allowBlank="1" type="list">
      <formula1>"Корпоративные зоны,Городской патрульный район,Боевые зоны,Окраины города,Зоны восстановления,Открытые шоссе"</formula1>
    </dataValidation>
    <dataValidation sqref="C28" showDropDown="0" showInputMessage="0" showErrorMessage="0" allowBlank="1" type="list">
      <formula1>"Честная и этичная служба,Честная, но суровая,Редкие нарушения,Нарушает правила ради дела,Безжалостно контролирует Улицу,Полностью коррумпировано"</formula1>
    </dataValidation>
    <dataValidation sqref="C29" showDropDown="0" showInputMessage="0" showErrorMessage="0" allowBlank="1" type="list">
      <formula1>"Организованная преступность,Бустерганги,Группа контроля полиции,Грязные политики,Контрабандисты,Уличные преступники"</formula1>
    </dataValidation>
    <dataValidation sqref="C30" showDropDown="0" showInputMessage="0" showErrorMessage="0" allowBlank="1" type="list">
      <formula1>"Организованная преступность,Бустерганги,Наркоторговцы,Грязные политики,Контрабандисты,Уличная преступность"</formula1>
    </dataValidation>
  </dataValidations>
  <pageMargins left="0.75" right="0.75" top="1" bottom="1" header="0.5" footer="0.5"/>
  <pageSetup orientation="portrait" fitToHeight="0" fitToWidth="1"/>
  <drawing xmlns:r="http://schemas.openxmlformats.org/officeDocument/2006/relationships" r:id="rId1"/>
</worksheet>
</file>

<file path=xl/worksheets/sheet2.xml><?xml version="1.0" encoding="utf-8"?>
<worksheet xmlns="http://schemas.openxmlformats.org/spreadsheetml/2006/main">
  <sheetPr>
    <tabColor rgb="001B2430"/>
    <outlinePr summaryBelow="1" summaryRight="1"/>
    <pageSetUpPr fitToPage="1"/>
  </sheetPr>
  <dimension ref="B1:G83"/>
  <sheetViews>
    <sheetView showGridLines="0" workbookViewId="0">
      <pane ySplit="7" topLeftCell="A8" activePane="bottomLeft" state="frozen"/>
      <selection pane="bottomLeft" activeCell="A1" sqref="A1"/>
    </sheetView>
  </sheetViews>
  <sheetFormatPr baseColWidth="8" defaultRowHeight="15"/>
  <cols>
    <col width="2" customWidth="1" min="1" max="1"/>
    <col width="8" customWidth="1" min="2" max="2"/>
    <col width="15" customWidth="1" min="3" max="3"/>
    <col width="11" customWidth="1" min="4" max="4"/>
    <col width="11" customWidth="1" min="5" max="5"/>
    <col width="11" customWidth="1" min="6" max="6"/>
    <col width="62" customWidth="1" min="7" max="7"/>
    <col width="2" customWidth="1" min="8" max="8"/>
  </cols>
  <sheetData>
    <row r="1" ht="20" customHeight="1">
      <c r="B1" s="1" t="inlineStr">
        <is>
          <t>ЛИСТ ПЕРСОНАЖА  ▚  ОСНОВА  ▚  CYBERPUNK RED / CEMK · НАЙТ-СИТИ, 2070-е</t>
        </is>
      </c>
    </row>
    <row r="2">
      <c r="B2" s="8" t="inlineStr">
        <is>
          <t>ПОЗЫВНОЙ / РОЛЬ</t>
        </is>
      </c>
      <c r="C2" s="18" t="n"/>
      <c r="D2" s="19" t="n"/>
      <c r="E2" s="22">
        <f>'01 ДОСЬЕ'!C6&amp;" · "&amp;'01 ДОСЬЕ'!C7</f>
        <v/>
      </c>
      <c r="F2" s="8" t="inlineStr">
        <is>
          <t>РАНГ РОЛИ</t>
        </is>
      </c>
      <c r="G2" s="7" t="n">
        <v>4</v>
      </c>
    </row>
    <row r="3">
      <c r="B3" s="8" t="inlineStr">
        <is>
          <t>ИГРОК / СТАТУС ДЕЛА</t>
        </is>
      </c>
      <c r="C3" s="18" t="n"/>
      <c r="D3" s="19" t="n"/>
      <c r="E3" s="22">
        <f>'01 ДОСЬЕ'!C8&amp;" · "&amp;'01 ДОСЬЕ'!G3</f>
        <v/>
      </c>
      <c r="F3" s="8" t="inlineStr">
        <is>
          <t>СОСТОЯНИЕ РАН</t>
        </is>
      </c>
      <c r="G3" s="30">
        <f>IF(D25="","—",IF(D25&lt;1,"СМЕРТЕЛЬНО РАНЕН",IF(D25&lt;=D26,"СЕРЬЁЗНО РАНЕН",IF(D25&lt;D24,"ЛЁГКОЕ РАНЕНИЕ","В НОРМЕ"))))</f>
        <v/>
      </c>
    </row>
    <row r="4">
      <c r="B4" s="8" t="inlineStr">
        <is>
          <t>КОНТАКТ / HOLOPHONE</t>
        </is>
      </c>
      <c r="C4" s="18" t="n"/>
      <c r="D4" s="19" t="n"/>
      <c r="E4" s="22">
        <f>'01 ДОСЬЕ'!C13</f>
        <v/>
      </c>
      <c r="F4" s="8" t="inlineStr">
        <is>
          <t>КИБЕРПСИХОЗ</t>
        </is>
      </c>
      <c r="G4" s="30">
        <f>IF(D36&lt;0,"⚠ ПОРОГ ПРОЙДЕН",IF(D36&lt;10,"⚠ НА ГРАНИ","—"))</f>
        <v/>
      </c>
    </row>
    <row r="5">
      <c r="B5" s="6" t="inlineStr">
        <is>
          <t>ЖЁЛТЫЕ ПОЛЯ — ВВОД · СЕРО-СИНИЕ — СЧИТАЕТСЯ АВТОМАТИЧЕСКИ · СТАТЫ ДАЮТ ИТОГ С УЧЁТОМ ШТРАФА БРОНИ (ЛИСТ 05)</t>
        </is>
      </c>
    </row>
    <row r="6">
      <c r="B6" s="17" t="inlineStr">
        <is>
          <t>Ⅰ · ХАРАКТЕРИСТИКИ  ·  62 ОЧКА НА 10 СТАТ  ·  КАЖДАЯ ОТ 2 ДО 8</t>
        </is>
      </c>
    </row>
    <row r="7">
      <c r="B7" s="20" t="inlineStr">
        <is>
          <t>КОД</t>
        </is>
      </c>
      <c r="C7" s="20" t="inlineStr">
        <is>
          <t>СТАТА</t>
        </is>
      </c>
      <c r="D7" s="20" t="inlineStr">
        <is>
          <t>ЗНАЧ.</t>
        </is>
      </c>
      <c r="E7" s="20" t="inlineStr">
        <is>
          <t>БРОНЯ</t>
        </is>
      </c>
      <c r="F7" s="20" t="inlineStr">
        <is>
          <t>ИТОГ</t>
        </is>
      </c>
      <c r="G7" s="20" t="inlineStr">
        <is>
          <t>НА ЧТО ВЛИЯЕТ</t>
        </is>
      </c>
    </row>
    <row r="8" ht="26" customHeight="1">
      <c r="B8" s="31" t="inlineStr">
        <is>
          <t>INT</t>
        </is>
      </c>
      <c r="C8" s="21" t="inlineStr">
        <is>
          <t>Интеллект</t>
        </is>
      </c>
      <c r="D8" s="7" t="n">
        <v>8</v>
      </c>
      <c r="E8" s="30" t="n">
        <v>0</v>
      </c>
      <c r="F8" s="30">
        <f>IF(D8="",0,MAX(0,D8-E8))</f>
        <v/>
      </c>
      <c r="G8" s="21" t="inlineStr">
        <is>
          <t>Ум, восприятие, обучение. База для Perception, Education, Local Expert</t>
        </is>
      </c>
    </row>
    <row r="9" ht="26" customHeight="1">
      <c r="B9" s="31" t="inlineStr">
        <is>
          <t>WILL</t>
        </is>
      </c>
      <c r="C9" s="21" t="inlineStr">
        <is>
          <t>Воля</t>
        </is>
      </c>
      <c r="D9" s="7" t="n">
        <v>7</v>
      </c>
      <c r="E9" s="30" t="n">
        <v>0</v>
      </c>
      <c r="F9" s="30">
        <f>IF(D9="",0,MAX(0,D9-E9))</f>
        <v/>
      </c>
      <c r="G9" s="21" t="inlineStr">
        <is>
          <t>Решимость и стрессоустойчивость. Входит в расчёт HP. База для Concentr</t>
        </is>
      </c>
    </row>
    <row r="10" ht="26" customHeight="1">
      <c r="B10" s="31" t="inlineStr">
        <is>
          <t>COOL</t>
        </is>
      </c>
      <c r="C10" s="21" t="inlineStr">
        <is>
          <t>Хладнокровие</t>
        </is>
      </c>
      <c r="D10" s="7" t="n">
        <v>7</v>
      </c>
      <c r="E10" s="30" t="n">
        <v>0</v>
      </c>
      <c r="F10" s="30">
        <f>IF(D10="",0,MAX(0,D10-E10))</f>
        <v/>
      </c>
      <c r="G10" s="21" t="inlineStr">
        <is>
          <t>Характер и харизма. База для Persuasion, Streetwise, Acting, Interroga</t>
        </is>
      </c>
    </row>
    <row r="11" ht="26" customHeight="1">
      <c r="B11" s="31" t="inlineStr">
        <is>
          <t>EMP</t>
        </is>
      </c>
      <c r="C11" s="21" t="inlineStr">
        <is>
          <t>Эмпатия</t>
        </is>
      </c>
      <c r="D11" s="7" t="n">
        <v>5</v>
      </c>
      <c r="E11" s="30" t="n">
        <v>0</v>
      </c>
      <c r="F11" s="30">
        <f>IF(D11="",0,MIN(MAX(0,D11-E11),$D$37))</f>
        <v/>
      </c>
      <c r="G11" s="21" t="inlineStr">
        <is>
          <t>Сопереживание. База Humanity (EMP × 10) и EMP-навыков. Падает вместе с</t>
        </is>
      </c>
    </row>
    <row r="12" ht="26" customHeight="1">
      <c r="B12" s="31" t="inlineStr">
        <is>
          <t>TECH</t>
        </is>
      </c>
      <c r="C12" s="21" t="inlineStr">
        <is>
          <t>Техника</t>
        </is>
      </c>
      <c r="D12" s="7" t="n">
        <v>3</v>
      </c>
      <c r="E12" s="30" t="n">
        <v>0</v>
      </c>
      <c r="F12" s="30">
        <f>IF(D12="",0,MAX(0,D12-E12))</f>
        <v/>
      </c>
      <c r="G12" s="21" t="inlineStr">
        <is>
          <t>Работа с инструментами и электроникой: Basic Tech, Cybertech, Weaponst</t>
        </is>
      </c>
    </row>
    <row r="13" ht="26" customHeight="1">
      <c r="B13" s="31" t="inlineStr">
        <is>
          <t>REF</t>
        </is>
      </c>
      <c r="C13" s="21" t="inlineStr">
        <is>
          <t>Реакция</t>
        </is>
      </c>
      <c r="D13" s="7" t="n">
        <v>8</v>
      </c>
      <c r="E13" s="30">
        <f>'05 СНАРЯЖЕНИЕ'!$D$30</f>
        <v/>
      </c>
      <c r="F13" s="30">
        <f>IF(D13="",0,MAX(0,D13-E13))</f>
        <v/>
      </c>
      <c r="G13" s="21" t="inlineStr">
        <is>
          <t>Координация и прицеливание. Инициатива, все дальние атаки. Штраф брони</t>
        </is>
      </c>
    </row>
    <row r="14" ht="26" customHeight="1">
      <c r="B14" s="31" t="inlineStr">
        <is>
          <t>LUCK</t>
        </is>
      </c>
      <c r="C14" s="21" t="inlineStr">
        <is>
          <t>Удача</t>
        </is>
      </c>
      <c r="D14" s="7" t="n">
        <v>2</v>
      </c>
      <c r="E14" s="30" t="n">
        <v>0</v>
      </c>
      <c r="F14" s="30">
        <f>IF(D14="",0,MAX(0,D14-E14))</f>
        <v/>
      </c>
      <c r="G14" s="21" t="inlineStr">
        <is>
          <t xml:space="preserve">Пул на любой бросок (до броска). Восстанавливается в начале следующей </t>
        </is>
      </c>
    </row>
    <row r="15" ht="26" customHeight="1">
      <c r="B15" s="31" t="inlineStr">
        <is>
          <t>BODY</t>
        </is>
      </c>
      <c r="C15" s="21" t="inlineStr">
        <is>
          <t>Телосложение</t>
        </is>
      </c>
      <c r="D15" s="7" t="n">
        <v>8</v>
      </c>
      <c r="E15" s="30" t="n">
        <v>0</v>
      </c>
      <c r="F15" s="30">
        <f>IF(D15="",0,MAX(0,D15-E15))</f>
        <v/>
      </c>
      <c r="G15" s="21" t="inlineStr">
        <is>
          <t>Сила и живучесть. Входит в HP, задаёт спасбросок смерти. Штраф брони н</t>
        </is>
      </c>
    </row>
    <row r="16" ht="26" customHeight="1">
      <c r="B16" s="31" t="inlineStr">
        <is>
          <t>DEX</t>
        </is>
      </c>
      <c r="C16" s="21" t="inlineStr">
        <is>
          <t>Ловкость</t>
        </is>
      </c>
      <c r="D16" s="7" t="n">
        <v>8</v>
      </c>
      <c r="E16" s="30">
        <f>'05 СНАРЯЖЕНИЕ'!$E$30</f>
        <v/>
      </c>
      <c r="F16" s="30">
        <f>IF(D16="",0,MAX(0,D16-E16))</f>
        <v/>
      </c>
      <c r="G16" s="21" t="inlineStr">
        <is>
          <t>Баланс, прыжки, ближний бой, уклонение. Штраф брони бьёт сюда.</t>
        </is>
      </c>
    </row>
    <row r="17" ht="26" customHeight="1">
      <c r="B17" s="31" t="inlineStr">
        <is>
          <t>MOVE</t>
        </is>
      </c>
      <c r="C17" s="21" t="inlineStr">
        <is>
          <t>Скорость</t>
        </is>
      </c>
      <c r="D17" s="7" t="n">
        <v>6</v>
      </c>
      <c r="E17" s="30">
        <f>'05 СНАРЯЖЕНИЕ'!$F$30</f>
        <v/>
      </c>
      <c r="F17" s="30">
        <f>IF(D17="",0,MAX(0,D17-E17))</f>
        <v/>
      </c>
      <c r="G17" s="21" t="inlineStr">
        <is>
          <t>Перемещение: MOVE × 2 м за Move Action. Штраф брони бьёт сюда (может у</t>
        </is>
      </c>
    </row>
    <row r="18">
      <c r="B18" s="8" t="inlineStr">
        <is>
          <t>РАСКИДАНО / НОРМА 62</t>
        </is>
      </c>
      <c r="C18" s="19" t="n"/>
      <c r="D18" s="30">
        <f>SUM(D8:D17)</f>
        <v/>
      </c>
      <c r="E18" s="8" t="inlineStr">
        <is>
          <t>ОСТАТОК</t>
        </is>
      </c>
      <c r="F18" s="30">
        <f>62-SUM(D8:D17)</f>
        <v/>
      </c>
      <c r="G18" s="22">
        <f>IF(F18=0,"✔ ровно 62 очка","свободно: "&amp;F18&amp;"  (нужно раздать все 62)")</f>
        <v/>
      </c>
    </row>
    <row r="19">
      <c r="B19" s="8" t="inlineStr">
        <is>
          <t>ПРОВЕРКА</t>
        </is>
      </c>
      <c r="C19" s="19" t="n"/>
      <c r="D19" s="22">
        <f>IF(AND(SUM(D8:D17)=62,MIN(D8:D17)&gt;=2,MAX(D8:D17)&lt;=8),"✔ 62 очка, диапазон 2–8 соблюдён","✖ ПРОВЕРЬ: сумма должна быть 62, каждая стата 2–8")</f>
        <v/>
      </c>
      <c r="E19" s="18" t="n"/>
      <c r="F19" s="18" t="n"/>
      <c r="G19" s="19" t="n"/>
    </row>
    <row r="20">
      <c r="B20" s="6" t="inlineStr">
        <is>
          <t>Штраф брони вычитается из REF, DEX и MOVE — он берётся один раз, самый строгий из надетого (лист 05). Броня режет и навыки на этих статах автоматически (лист 03).</t>
        </is>
      </c>
    </row>
    <row r="22">
      <c r="B22" s="17" t="inlineStr">
        <is>
          <t>Ⅱ · ПРОИЗВОДНЫЕ  ·  HP, ЧЕЛОВЕЧНОСТЬ, ИНИЦИАТИВА</t>
        </is>
      </c>
    </row>
    <row r="23">
      <c r="B23" s="20" t="inlineStr">
        <is>
          <t>ПОКАЗАТЕЛЬ</t>
        </is>
      </c>
      <c r="D23" s="20" t="inlineStr">
        <is>
          <t>ЗНАЧЕНИЕ</t>
        </is>
      </c>
      <c r="E23" s="20" t="inlineStr">
        <is>
          <t>ФОРМУЛА / ПРАВИЛО</t>
        </is>
      </c>
    </row>
    <row r="24" ht="20" customHeight="1">
      <c r="B24" s="8" t="inlineStr">
        <is>
          <t>HP МАКСИМУМ</t>
        </is>
      </c>
      <c r="C24" s="19" t="n"/>
      <c r="D24" s="30">
        <f>10+5*ROUNDUP((F15+F9)/2,0)</f>
        <v/>
      </c>
      <c r="E24" s="21" t="inlineStr">
        <is>
          <t>HP = 10 + 5 × ⌈(BODY+WILL)/2⌉. Считается по ИТОГОВЫМ статам, но броня на них не влияет.</t>
        </is>
      </c>
      <c r="F24" s="18" t="n"/>
      <c r="G24" s="19" t="n"/>
    </row>
    <row r="25" ht="20" customHeight="1">
      <c r="B25" s="8" t="inlineStr">
        <is>
          <t>HP ТЕКУЩИЕ (ВВОД)</t>
        </is>
      </c>
      <c r="C25" s="19" t="n"/>
      <c r="D25" s="7" t="n">
        <v>50</v>
      </c>
      <c r="E25" s="21" t="inlineStr">
        <is>
          <t>Просто вписывай текущие HP. Ноль и ниже — смертельное состояние.</t>
        </is>
      </c>
      <c r="F25" s="18" t="n"/>
      <c r="G25" s="19" t="n"/>
    </row>
    <row r="26" ht="20" customHeight="1">
      <c r="B26" s="8" t="inlineStr">
        <is>
          <t>ПОРОГ «СЕРЬЁЗНО РАНЕН»</t>
        </is>
      </c>
      <c r="C26" s="19" t="n"/>
      <c r="D26" s="30">
        <f>ROUNDUP(D24/2,0)</f>
        <v/>
      </c>
      <c r="E26" s="21" t="inlineStr">
        <is>
          <t>Половина максимума, округление вверх → −2 ко всем действиям.</t>
        </is>
      </c>
      <c r="F26" s="18" t="n"/>
      <c r="G26" s="19" t="n"/>
    </row>
    <row r="27" ht="20" customHeight="1">
      <c r="B27" s="8" t="inlineStr">
        <is>
          <t>СПАСБРОСОК СМЕРТИ (BODY)</t>
        </is>
      </c>
      <c r="C27" s="19" t="n"/>
      <c r="D27" s="30">
        <f>F15</f>
        <v/>
      </c>
      <c r="E27" s="21" t="inlineStr">
        <is>
          <t>1d10 ≤ BODY − штраф. Выпало 10 — провал. Провал = смерть.</t>
        </is>
      </c>
      <c r="F27" s="18" t="n"/>
      <c r="G27" s="19" t="n"/>
    </row>
    <row r="28" ht="20" customHeight="1">
      <c r="B28" s="8" t="inlineStr">
        <is>
          <t>ШТРАФ К СПАСБРОСКАМ (ВВОД)</t>
        </is>
      </c>
      <c r="C28" s="19" t="n"/>
      <c r="D28" s="7" t="n">
        <v>0</v>
      </c>
      <c r="E28" s="21" t="inlineStr">
        <is>
          <t>Складывается с крит-травм (+1 за каждую такую травму) и урона.</t>
        </is>
      </c>
      <c r="F28" s="18" t="n"/>
      <c r="G28" s="19" t="n"/>
    </row>
    <row r="29" ht="20" customHeight="1">
      <c r="B29" s="8" t="inlineStr">
        <is>
          <t>ИНИЦИАТИВА (REF + 1D10)</t>
        </is>
      </c>
      <c r="C29" s="19" t="n"/>
      <c r="D29" s="30">
        <f>F13</f>
        <v/>
      </c>
      <c r="E29" s="21" t="inlineStr">
        <is>
          <t>Бросок 1d10 + это число. Combat Awareness: +1 за каждое вложенное очко в Initiative Reaction.</t>
        </is>
      </c>
      <c r="F29" s="18" t="n"/>
      <c r="G29" s="19" t="n"/>
    </row>
    <row r="30" ht="20" customHeight="1">
      <c r="B30" s="8" t="inlineStr">
        <is>
          <t>MOVE ACTION (МЕТРЫ)</t>
        </is>
      </c>
      <c r="C30" s="19" t="n"/>
      <c r="D30" s="30">
        <f>F17*2</f>
        <v/>
      </c>
      <c r="E30" s="21" t="inlineStr">
        <is>
          <t>За Move Action персонаж двигается на MOVE × 2 м. Ход = Move Action + одно действие.</t>
        </is>
      </c>
      <c r="F30" s="18" t="n"/>
      <c r="G30" s="19" t="n"/>
    </row>
    <row r="31" ht="20" customHeight="1">
      <c r="B31" s="8" t="inlineStr">
        <is>
          <t>HUMANITY: БАЗА (EMP × 10)</t>
        </is>
      </c>
      <c r="C31" s="19" t="n"/>
      <c r="D31" s="30">
        <f>D11*10</f>
        <v/>
      </c>
      <c r="E31" s="21" t="inlineStr">
        <is>
          <t>Считается от исходной EMP (колонка «ЗНАЧ.»), не от текущей.</t>
        </is>
      </c>
      <c r="F31" s="18" t="n"/>
      <c r="G31" s="19" t="n"/>
    </row>
    <row r="32" ht="20" customHeight="1">
      <c r="B32" s="8" t="inlineStr">
        <is>
          <t>СРЕЗ МАКСИМУМА ЗА ХРОМ</t>
        </is>
      </c>
      <c r="C32" s="19" t="n"/>
      <c r="D32" s="30">
        <f>'04 ХРОМ'!$I$25</f>
        <v/>
      </c>
      <c r="E32" s="21" t="inlineStr">
        <is>
          <t>−2 за каждый обычный имплант, −4 за боргвар, Fashionware не режет максимум (лист 04).</t>
        </is>
      </c>
      <c r="F32" s="18" t="n"/>
      <c r="G32" s="19" t="n"/>
    </row>
    <row r="33" ht="20" customHeight="1">
      <c r="B33" s="8" t="inlineStr">
        <is>
          <t>HUMANITY МАКСИМУМ</t>
        </is>
      </c>
      <c r="C33" s="19" t="n"/>
      <c r="D33" s="30">
        <f>D31-D32</f>
        <v/>
      </c>
      <c r="E33" s="21" t="inlineStr">
        <is>
          <t>Максимум Humanity = база − срез. Полностью вернуть можно только сняв хром.</t>
        </is>
      </c>
      <c r="F33" s="18" t="n"/>
      <c r="G33" s="19" t="n"/>
    </row>
    <row r="34" ht="20" customHeight="1">
      <c r="B34" s="8" t="inlineStr">
        <is>
          <t>HL ВСЕГО (СРЕДНЕЕ)</t>
        </is>
      </c>
      <c r="C34" s="19" t="n"/>
      <c r="D34" s="30">
        <f>'04 ХРОМ'!$H$25</f>
        <v/>
      </c>
      <c r="E34" s="21" t="inlineStr">
        <is>
          <t>Среднее значение HL каждого установленного импланта (дом-правило кампании: «7 (2d6)» = −7).</t>
        </is>
      </c>
      <c r="F34" s="18" t="n"/>
      <c r="G34" s="19" t="n"/>
    </row>
    <row r="35" ht="20" customHeight="1">
      <c r="B35" s="8" t="inlineStr">
        <is>
          <t>ВОССТАНОВЛЕНО (ТЕРАПИЯ/ОПЫТ)</t>
        </is>
      </c>
      <c r="C35" s="19" t="n"/>
      <c r="D35" s="7" t="n"/>
      <c r="E35" s="21" t="inlineStr">
        <is>
          <t>Сколько Humanity вернули терапией, опытом или событиями кампании (CEMK: Humanity Gain).</t>
        </is>
      </c>
      <c r="F35" s="18" t="n"/>
      <c r="G35" s="19" t="n"/>
    </row>
    <row r="36" ht="20" customHeight="1">
      <c r="B36" s="8" t="inlineStr">
        <is>
          <t>HUMANITY ТЕКУЩАЯ</t>
        </is>
      </c>
      <c r="C36" s="19" t="n"/>
      <c r="D36" s="30">
        <f>MIN(D33,D31-D34+D35)</f>
        <v/>
      </c>
      <c r="E36" s="21" t="inlineStr">
        <is>
          <t>Не может превышать максимум. Ниже 0 — киберпсихоз, лист уходит GM.</t>
        </is>
      </c>
      <c r="F36" s="18" t="n"/>
      <c r="G36" s="19" t="n"/>
    </row>
    <row r="37" ht="20" customHeight="1">
      <c r="B37" s="8" t="inlineStr">
        <is>
          <t>EMP ТЕКУЩАЯ</t>
        </is>
      </c>
      <c r="C37" s="19" t="n"/>
      <c r="D37" s="30">
        <f>MAX(0,ROUNDDOWN(D36/10,0))</f>
        <v/>
      </c>
      <c r="E37" s="21" t="inlineStr">
        <is>
          <t>Каждый раз, когда десяток Humanity падает, падает и EMP.</t>
        </is>
      </c>
      <c r="F37" s="18" t="n"/>
      <c r="G37" s="19" t="n"/>
    </row>
    <row r="38" ht="20" customHeight="1">
      <c r="B38" s="8" t="inlineStr">
        <is>
          <t>СТАТУС HUMANITY</t>
        </is>
      </c>
      <c r="C38" s="19" t="n"/>
      <c r="D38" s="30">
        <f>IF(D36&lt;0,"⚠ КИБЕРПСИХОЗ",IF(D36&lt;10,"⚠ НА ГРАНИ",IF(D36&lt;20,"ПОНИЖЕННАЯ","В НОРМЕ")))</f>
        <v/>
      </c>
      <c r="E38" s="21" t="inlineStr">
        <is>
          <t>Порог киберпсихоза: 0 Humanity. EMP 0 = отстранённость, диссоциация, «люди — детали».</t>
        </is>
      </c>
      <c r="F38" s="18" t="n"/>
      <c r="G38" s="19" t="n"/>
    </row>
    <row r="40">
      <c r="B40" s="17" t="inlineStr">
        <is>
          <t>Ⅲ · РОЛЕВАЯ СПОСОБНОСТЬ  ·  A: SOLO — COMBAT AWARENESS  ·  B: LAWMAN — BACKUP</t>
        </is>
      </c>
    </row>
    <row r="41">
      <c r="B41" s="20" t="inlineStr">
        <is>
          <t>СПОСОБНОСТЬ</t>
        </is>
      </c>
      <c r="C41" s="20" t="inlineStr">
        <is>
          <t>ЦЕНА ЗА ЭФФЕКТ</t>
        </is>
      </c>
      <c r="D41" s="20" t="inlineStr">
        <is>
          <t>ВЛОЖЕНО ОЧКОВ</t>
        </is>
      </c>
      <c r="E41" s="20" t="inlineStr">
        <is>
          <t>ЧТО ЭТО ДАЁТ</t>
        </is>
      </c>
    </row>
    <row r="42" ht="20" customHeight="1">
      <c r="B42" s="21" t="inlineStr">
        <is>
          <t>Damage Deflection</t>
        </is>
      </c>
      <c r="C42" s="31" t="inlineStr">
        <is>
          <t>2 очка за −1 урона</t>
        </is>
      </c>
      <c r="D42" s="7" t="n">
        <v>0</v>
      </c>
      <c r="E42" s="21" t="inlineStr">
        <is>
          <t>Уменьшает первый урон раунда: 2/4/6/8/10 очков = −1…−5.</t>
        </is>
      </c>
      <c r="F42" s="18" t="n"/>
      <c r="G42" s="19" t="n"/>
    </row>
    <row r="43" ht="20" customHeight="1">
      <c r="B43" s="21" t="inlineStr">
        <is>
          <t>Fumble Recovery</t>
        </is>
      </c>
      <c r="C43" s="31" t="inlineStr">
        <is>
          <t>4 очка</t>
        </is>
      </c>
      <c r="D43" s="7" t="n">
        <v>0</v>
      </c>
      <c r="E43" s="21" t="inlineStr">
        <is>
          <t>Игнорируешь критический провал (1) на атаках — но 1 всё равно 1.</t>
        </is>
      </c>
      <c r="F43" s="18" t="n"/>
      <c r="G43" s="19" t="n"/>
    </row>
    <row r="44" ht="20" customHeight="1">
      <c r="B44" s="21" t="inlineStr">
        <is>
          <t>Initiative Reaction</t>
        </is>
      </c>
      <c r="C44" s="31" t="inlineStr">
        <is>
          <t>1 очко = +1</t>
        </is>
      </c>
      <c r="D44" s="7" t="n">
        <v>0</v>
      </c>
      <c r="E44" s="21" t="inlineStr">
        <is>
          <t>Каждое очко даёт +1 к инициативе.</t>
        </is>
      </c>
      <c r="F44" s="18" t="n"/>
      <c r="G44" s="19" t="n"/>
    </row>
    <row r="45" ht="20" customHeight="1">
      <c r="B45" s="21" t="inlineStr">
        <is>
          <t>Precision Attack</t>
        </is>
      </c>
      <c r="C45" s="31" t="inlineStr">
        <is>
          <t>3 очка за +1</t>
        </is>
      </c>
      <c r="D45" s="7" t="n">
        <v>0</v>
      </c>
      <c r="E45" s="21" t="inlineStr">
        <is>
          <t>3/6/9 очков = +1/+2/+3 ко всем атакам.</t>
        </is>
      </c>
      <c r="F45" s="18" t="n"/>
      <c r="G45" s="19" t="n"/>
    </row>
    <row r="46" ht="20" customHeight="1">
      <c r="B46" s="21" t="inlineStr">
        <is>
          <t>Spot Weakness</t>
        </is>
      </c>
      <c r="C46" s="31" t="inlineStr">
        <is>
          <t>1 очко = +1 урона</t>
        </is>
      </c>
      <c r="D46" s="7" t="n">
        <v>0</v>
      </c>
      <c r="E46" s="21" t="inlineStr">
        <is>
          <t>+1 к урону первого успешного попадания в раунде (до брони).</t>
        </is>
      </c>
      <c r="F46" s="18" t="n"/>
      <c r="G46" s="19" t="n"/>
    </row>
    <row r="47" ht="20" customHeight="1">
      <c r="B47" s="21" t="inlineStr">
        <is>
          <t>Threat Detection</t>
        </is>
      </c>
      <c r="C47" s="31" t="inlineStr">
        <is>
          <t>1 очко = +1</t>
        </is>
      </c>
      <c r="D47" s="7" t="n">
        <v>0</v>
      </c>
      <c r="E47" s="21" t="inlineStr">
        <is>
          <t>+1 ко всем проверкам Perception.</t>
        </is>
      </c>
      <c r="F47" s="18" t="n"/>
      <c r="G47" s="19" t="n"/>
    </row>
    <row r="48">
      <c r="B48" s="8" t="inlineStr">
        <is>
          <t>ВЛОЖЕНО / РАНГ РОЛИ (SOLO)</t>
        </is>
      </c>
      <c r="C48" s="19" t="n"/>
      <c r="D48" s="30">
        <f>SUM(D42:D47)</f>
        <v/>
      </c>
      <c r="E48" s="22">
        <f>IF(OR(ISNUMBER(SEARCH("awman",$E$2)),ISNUMBER(SEARCH("законник",$E$2))),"Lawman: Combat Awareness не используется — твоя способность Backup (блок Ⅳ)",IF(SUM(D42:D47)=$G$2,"✔ распределено ровно по рангу",IF(SUM(D42:D47)&lt;$G$2,"осталось очков: "&amp;($G$2-SUM(D42:D47)),"✖ вложено больше ранга на "&amp;(SUM(D42:D47)-$G$2))))</f>
        <v/>
      </c>
      <c r="F48" s="6" t="inlineStr">
        <is>
          <t>Расклад можно менять до боя, вне боя и в бою — но в бою это Действие. Если не меняешь — держится прежний.</t>
        </is>
      </c>
    </row>
    <row r="50">
      <c r="B50" s="17" t="inlineStr">
        <is>
          <t>Ⅳ · LAWMAN · BACKUP  ·  ВЫЗОВ ПОДКРЕПЛЕНИЯ (РАНГ = РАНГ РОЛИ)</t>
        </is>
      </c>
    </row>
    <row r="51">
      <c r="B51" s="20" t="inlineStr">
        <is>
          <t>РАНГ BACKUP</t>
        </is>
      </c>
      <c r="D51" s="20" t="inlineStr">
        <is>
          <t>БОЕВОЙ № · SP · HP</t>
        </is>
      </c>
      <c r="E51" s="20" t="inlineStr">
        <is>
          <t>КТО ПРИЕДЕТ И НА ЧЁМ</t>
        </is>
      </c>
    </row>
    <row r="52" ht="24" customHeight="1">
      <c r="B52" s="31" t="inlineStr">
        <is>
          <t>1–2</t>
        </is>
      </c>
      <c r="C52" s="19" t="n"/>
      <c r="D52" s="31" t="inlineStr">
        <is>
          <t>8 · 7 · 20</t>
        </is>
      </c>
      <c r="E52" s="21" t="inlineStr">
        <is>
          <t>Корпоративная охрана: 4 местных прокат-копа, приходят пешком. Heavy Pistols, Kevlar.</t>
        </is>
      </c>
      <c r="F52" s="18" t="n"/>
      <c r="G52" s="19" t="n"/>
    </row>
    <row r="53" ht="24" customHeight="1">
      <c r="B53" s="31" t="inlineStr">
        <is>
          <t>3–4</t>
        </is>
      </c>
      <c r="C53" s="19" t="n"/>
      <c r="D53" s="31" t="inlineStr">
        <is>
          <t>10 · 7 · 25</t>
        </is>
      </c>
      <c r="E53" s="21" t="inlineStr">
        <is>
          <t>Патрульные: 4 копа с района на двух Compact Groundcar. Heavy Pistols, Kevlar.</t>
        </is>
      </c>
      <c r="F53" s="18" t="n"/>
      <c r="G53" s="19" t="n"/>
    </row>
    <row r="54" ht="24" customHeight="1">
      <c r="B54" s="31" t="inlineStr">
        <is>
          <t>5–7</t>
        </is>
      </c>
      <c r="C54" s="19" t="n"/>
      <c r="D54" s="31" t="inlineStr">
        <is>
          <t>14 · 13 · 35</t>
        </is>
      </c>
      <c r="E54" s="21" t="inlineStr">
        <is>
          <t>Департамент шерифа: 2 «маунти» на High Performance Groundcar. Heavy Pistols + Assault Rifles, Heavy Armorjack.</t>
        </is>
      </c>
      <c r="F54" s="18" t="n"/>
      <c r="G54" s="19" t="n"/>
    </row>
    <row r="55" ht="24" customHeight="1">
      <c r="B55" s="31" t="inlineStr">
        <is>
          <t>8</t>
        </is>
      </c>
      <c r="C55" s="19" t="n"/>
      <c r="D55" s="31" t="inlineStr">
        <is>
          <t>16 · 15 · 50</t>
        </is>
      </c>
      <c r="E55" s="21" t="inlineStr">
        <is>
          <t>Маршал зоны восстановления: один, на Superbike. Very Heavy Pistol, Assault Rifle, Grenade Launcher, Flak.</t>
        </is>
      </c>
      <c r="F55" s="18" t="n"/>
      <c r="G55" s="19" t="n"/>
    </row>
    <row r="56" ht="24" customHeight="1">
      <c r="B56" s="31" t="inlineStr">
        <is>
          <t>9</t>
        </is>
      </c>
      <c r="C56" s="19" t="n"/>
      <c r="D56" s="31" t="inlineStr">
        <is>
          <t>15 · 18 · 35</t>
        </is>
      </c>
      <c r="E56" s="21" t="inlineStr">
        <is>
          <t>C-SWAT: 2 бойца Psycho Squad с воздуха, на AV-4. Assault Rifles + Rocket Launchers, Metalgear.</t>
        </is>
      </c>
      <c r="F56" s="18" t="n"/>
      <c r="G56" s="19" t="n"/>
    </row>
    <row r="57" ht="24" customHeight="1">
      <c r="B57" s="31" t="inlineStr">
        <is>
          <t>10</t>
        </is>
      </c>
      <c r="C57" s="19" t="n"/>
      <c r="D57" s="31" t="inlineStr">
        <is>
          <t>14 · 11 · 35</t>
        </is>
      </c>
      <c r="E57" s="21" t="inlineStr">
        <is>
          <t>Национальные силы / Интерпол / Netwatch: 2 агента с AV-4. Very Heavy Pistols + Assault Rifles, Light Armorjack. Остаются до закрытия дела и считают по боевому номеру навыки Criminology, Deduction, Interrogation, Paramedic, Perception, Stealth, Tracking и др.</t>
        </is>
      </c>
      <c r="F57" s="18" t="n"/>
      <c r="G57" s="19" t="n"/>
    </row>
    <row r="58" ht="34" customHeight="1">
      <c r="B58" s="21" t="inlineStr">
        <is>
          <t>▪ ВЫЗОВ: Действие → бросок 1d10, успех при результате ≤ ранга Backup. Приезд — через 1d6 раундов; выпало 6 — приезжает тир на уровень выше (на 10-м ранге — две группы). Не ответили — зови в следующем ходу. Злоупотребление вызовом = разжалование или штраф от начальства.</t>
        </is>
      </c>
      <c r="C58" s="18" t="n"/>
      <c r="D58" s="18" t="n"/>
      <c r="E58" s="18" t="n"/>
      <c r="F58" s="18" t="n"/>
      <c r="G58" s="19" t="n"/>
    </row>
    <row r="59" ht="34" customHeight="1">
      <c r="B59" s="21" t="inlineStr">
        <is>
          <t>▪ Backup атакует и защищается боевым номером (стат + навык), но НЕ уклоняется от пуль. Отставной коп (вне службы) может звать только тех, с кем сохранил отношения, — решает GM.</t>
        </is>
      </c>
      <c r="C59" s="18" t="n"/>
      <c r="D59" s="18" t="n"/>
      <c r="E59" s="18" t="n"/>
      <c r="F59" s="18" t="n"/>
      <c r="G59" s="19" t="n"/>
    </row>
    <row r="61">
      <c r="B61" s="17" t="inlineStr">
        <is>
          <t>Ⅴ · ОРУЖИЕ В РУКАХ  ·  АВТО ИЗ ЛИСТА 05 (СЛОТ 1–4)</t>
        </is>
      </c>
    </row>
    <row r="62">
      <c r="B62" s="20" t="inlineStr">
        <is>
          <t>ОРУЖИЕ</t>
        </is>
      </c>
      <c r="C62" s="20" t="inlineStr">
        <is>
          <t>УРОН</t>
        </is>
      </c>
      <c r="D62" s="20" t="inlineStr">
        <is>
          <t>ROF</t>
        </is>
      </c>
      <c r="E62" s="20" t="inlineStr">
        <is>
          <t>МАГ.</t>
        </is>
      </c>
      <c r="F62" s="20" t="inlineStr">
        <is>
          <t>НАВЫК</t>
        </is>
      </c>
      <c r="G62" s="20" t="inlineStr">
        <is>
          <t>БАЗА АТАКИ (+1D10)</t>
        </is>
      </c>
    </row>
    <row r="63" ht="18" customHeight="1">
      <c r="B63" s="22">
        <f>IFERROR(INDEX('05 СНАРЯЖЕНИЕ'!$C$9:$C$16,MATCH(1,'05 СНАРЯЖЕНИЕ'!$K$9:$K$16,0)),"—")</f>
        <v/>
      </c>
      <c r="C63" s="30">
        <f>IFERROR(INDEX('05 СНАРЯЖЕНИЕ'!$F$9:$F$16,MATCH(1,'05 СНАРЯЖЕНИЕ'!$K$9:$K$16,0)),"—")</f>
        <v/>
      </c>
      <c r="D63" s="30">
        <f>IFERROR(INDEX('05 СНАРЯЖЕНИЕ'!$G$9:$G$16,MATCH(1,'05 СНАРЯЖЕНИЕ'!$K$9:$K$16,0)),"—")</f>
        <v/>
      </c>
      <c r="E63" s="30">
        <f>IFERROR(INDEX('05 СНАРЯЖЕНИЕ'!$H$9:$H$16,MATCH(1,'05 СНАРЯЖЕНИЕ'!$K$9:$K$16,0)),"—")</f>
        <v/>
      </c>
      <c r="F63" s="30">
        <f>IFERROR(INDEX('05 СНАРЯЖЕНИЕ'!$E$9:$E$16,MATCH(1,'05 СНАРЯЖЕНИЕ'!$K$9:$K$16,0)),"—")</f>
        <v/>
      </c>
      <c r="G63" s="30">
        <f>IFERROR(INDEX('05 СНАРЯЖЕНИЕ'!$L$9:$L$16,MATCH(1,'05 СНАРЯЖЕНИЕ'!$K$9:$K$16,0)),"—")</f>
        <v/>
      </c>
    </row>
    <row r="64" ht="18" customHeight="1">
      <c r="B64" s="22">
        <f>IFERROR(INDEX('05 СНАРЯЖЕНИЕ'!$C$9:$C$16,MATCH(2,'05 СНАРЯЖЕНИЕ'!$K$9:$K$16,0)),"—")</f>
        <v/>
      </c>
      <c r="C64" s="30">
        <f>IFERROR(INDEX('05 СНАРЯЖЕНИЕ'!$F$9:$F$16,MATCH(2,'05 СНАРЯЖЕНИЕ'!$K$9:$K$16,0)),"—")</f>
        <v/>
      </c>
      <c r="D64" s="30">
        <f>IFERROR(INDEX('05 СНАРЯЖЕНИЕ'!$G$9:$G$16,MATCH(2,'05 СНАРЯЖЕНИЕ'!$K$9:$K$16,0)),"—")</f>
        <v/>
      </c>
      <c r="E64" s="30">
        <f>IFERROR(INDEX('05 СНАРЯЖЕНИЕ'!$H$9:$H$16,MATCH(2,'05 СНАРЯЖЕНИЕ'!$K$9:$K$16,0)),"—")</f>
        <v/>
      </c>
      <c r="F64" s="30">
        <f>IFERROR(INDEX('05 СНАРЯЖЕНИЕ'!$E$9:$E$16,MATCH(2,'05 СНАРЯЖЕНИЕ'!$K$9:$K$16,0)),"—")</f>
        <v/>
      </c>
      <c r="G64" s="30">
        <f>IFERROR(INDEX('05 СНАРЯЖЕНИЕ'!$L$9:$L$16,MATCH(2,'05 СНАРЯЖЕНИЕ'!$K$9:$K$16,0)),"—")</f>
        <v/>
      </c>
    </row>
    <row r="65" ht="18" customHeight="1">
      <c r="B65" s="22">
        <f>IFERROR(INDEX('05 СНАРЯЖЕНИЕ'!$C$9:$C$16,MATCH(3,'05 СНАРЯЖЕНИЕ'!$K$9:$K$16,0)),"—")</f>
        <v/>
      </c>
      <c r="C65" s="30">
        <f>IFERROR(INDEX('05 СНАРЯЖЕНИЕ'!$F$9:$F$16,MATCH(3,'05 СНАРЯЖЕНИЕ'!$K$9:$K$16,0)),"—")</f>
        <v/>
      </c>
      <c r="D65" s="30">
        <f>IFERROR(INDEX('05 СНАРЯЖЕНИЕ'!$G$9:$G$16,MATCH(3,'05 СНАРЯЖЕНИЕ'!$K$9:$K$16,0)),"—")</f>
        <v/>
      </c>
      <c r="E65" s="30">
        <f>IFERROR(INDEX('05 СНАРЯЖЕНИЕ'!$H$9:$H$16,MATCH(3,'05 СНАРЯЖЕНИЕ'!$K$9:$K$16,0)),"—")</f>
        <v/>
      </c>
      <c r="F65" s="30">
        <f>IFERROR(INDEX('05 СНАРЯЖЕНИЕ'!$E$9:$E$16,MATCH(3,'05 СНАРЯЖЕНИЕ'!$K$9:$K$16,0)),"—")</f>
        <v/>
      </c>
      <c r="G65" s="30">
        <f>IFERROR(INDEX('05 СНАРЯЖЕНИЕ'!$L$9:$L$16,MATCH(3,'05 СНАРЯЖЕНИЕ'!$K$9:$K$16,0)),"—")</f>
        <v/>
      </c>
    </row>
    <row r="66" ht="18" customHeight="1">
      <c r="B66" s="22">
        <f>IFERROR(INDEX('05 СНАРЯЖЕНИЕ'!$C$9:$C$16,MATCH(4,'05 СНАРЯЖЕНИЕ'!$K$9:$K$16,0)),"—")</f>
        <v/>
      </c>
      <c r="C66" s="30">
        <f>IFERROR(INDEX('05 СНАРЯЖЕНИЕ'!$F$9:$F$16,MATCH(4,'05 СНАРЯЖЕНИЕ'!$K$9:$K$16,0)),"—")</f>
        <v/>
      </c>
      <c r="D66" s="30">
        <f>IFERROR(INDEX('05 СНАРЯЖЕНИЕ'!$G$9:$G$16,MATCH(4,'05 СНАРЯЖЕНИЕ'!$K$9:$K$16,0)),"—")</f>
        <v/>
      </c>
      <c r="E66" s="30">
        <f>IFERROR(INDEX('05 СНАРЯЖЕНИЕ'!$H$9:$H$16,MATCH(4,'05 СНАРЯЖЕНИЕ'!$K$9:$K$16,0)),"—")</f>
        <v/>
      </c>
      <c r="F66" s="30">
        <f>IFERROR(INDEX('05 СНАРЯЖЕНИЕ'!$E$9:$E$16,MATCH(4,'05 СНАРЯЖЕНИЕ'!$K$9:$K$16,0)),"—")</f>
        <v/>
      </c>
      <c r="G66" s="30">
        <f>IFERROR(INDEX('05 СНАРЯЖЕНИЕ'!$L$9:$L$16,MATCH(4,'05 СНАРЯЖЕНИЕ'!$K$9:$K$16,0)),"—")</f>
        <v/>
      </c>
    </row>
    <row r="68">
      <c r="B68" s="17" t="inlineStr">
        <is>
          <t>Ⅵ · БРОНЯ И ЗАЩИТА  ·  АВТО ИЗ ЛИСТА 05</t>
        </is>
      </c>
    </row>
    <row r="69">
      <c r="B69" s="8" t="inlineStr">
        <is>
          <t>SP ГОЛОВЫ (НАДЕТОЕ)</t>
        </is>
      </c>
      <c r="C69" s="19" t="n"/>
      <c r="D69" s="30">
        <f>'05 СНАРЯЖЕНИЕ'!$C$27</f>
        <v/>
      </c>
      <c r="E69" s="21" t="inlineStr">
        <is>
          <t>В локации работает только лучший SP — он не складывается.</t>
        </is>
      </c>
      <c r="F69" s="18" t="n"/>
      <c r="G69" s="19" t="n"/>
    </row>
    <row r="70">
      <c r="B70" s="8" t="inlineStr">
        <is>
          <t>SP ТЕЛА (НАДЕТОЕ)</t>
        </is>
      </c>
      <c r="C70" s="19" t="n"/>
      <c r="D70" s="30">
        <f>'05 СНАРЯЖЕНИЕ'!$C$28</f>
        <v/>
      </c>
      <c r="E70" s="21" t="inlineStr">
        <is>
          <t>При попадании вся надетая броня в локации аблейтится одновременно.</t>
        </is>
      </c>
      <c r="F70" s="18" t="n"/>
      <c r="G70" s="19" t="n"/>
    </row>
    <row r="71">
      <c r="B71" s="8" t="inlineStr">
        <is>
          <t>ЩИТ (HP)</t>
        </is>
      </c>
      <c r="C71" s="19" t="n"/>
      <c r="D71" s="30">
        <f>'05 СНАРЯЖЕНИЕ'!$C$29</f>
        <v/>
      </c>
      <c r="E71" s="21" t="inlineStr">
        <is>
          <t>Щит держится на HP: 10 HP у обычного, 15 у усиленного.</t>
        </is>
      </c>
      <c r="F71" s="18" t="n"/>
      <c r="G71" s="19" t="n"/>
    </row>
    <row r="72">
      <c r="B72" s="8" t="inlineStr">
        <is>
          <t>ШТРАФ БРОНИ REF / DEX / MOVE</t>
        </is>
      </c>
      <c r="C72" s="19" t="n"/>
      <c r="D72" s="30">
        <f>'05 СНАРЯЖЕНИЕ'!$D$30</f>
        <v/>
      </c>
      <c r="E72" s="30">
        <f>'05 СНАРЯЖЕНИЕ'!$E$30</f>
        <v/>
      </c>
      <c r="F72" s="30">
        <f>'05 СНАРЯЖЕНИЕ'!$F$30</f>
        <v/>
      </c>
      <c r="G72" s="6" t="inlineStr">
        <is>
          <t>применяется один раз, самый строгий</t>
        </is>
      </c>
    </row>
    <row r="73" ht="30" customHeight="1">
      <c r="B73" s="8" t="inlineStr">
        <is>
          <t>УКЛОНЕНИЕ ОТ ВЫСТРЕЛОВ (REF ≥ 8)</t>
        </is>
      </c>
      <c r="C73" s="19" t="n"/>
      <c r="D73" s="22">
        <f>IF($F$13&lt;8,"✖ нельзя: REF "&amp;$F$13&amp;" &lt; 8 после штрафа брони","✔ можно: Evasion "&amp;IFERROR(INDEX('03 НАВЫКИ'!$I$5:$I$76,MATCH("Evasion",'03 НАВЫКИ'!$C$5:$C$76,0)),$F$16)&amp;" + 1d10")</f>
        <v/>
      </c>
      <c r="E73" s="6" t="inlineStr">
        <is>
          <t>Уклонение от дальних атак доступно только при REF 8+ ПОСЛЕ штрафа брони: бросок DEX + Evasion + 1d10 против атаки. Тяжёлая броня (−4) лишает этой возможности — сравни цену SP и цену уклонения.</t>
        </is>
      </c>
    </row>
    <row r="74">
      <c r="B74" s="17" t="inlineStr">
        <is>
          <t>Ⅶ · ПАМЯТКА БОЙЦА  ·  2070</t>
        </is>
      </c>
    </row>
    <row r="75" ht="26" customHeight="1">
      <c r="B75" s="32" t="inlineStr">
        <is>
          <t>▪ Ход: 1 Move Action (MOVE × 2 м) + 1 действие. Инициатива = REF + 1d10.</t>
        </is>
      </c>
    </row>
    <row r="76" ht="26" customHeight="1">
      <c r="B76" s="32" t="inlineStr">
        <is>
          <t>▪ Серьёзно ранен (HP ≤ ½): −2 ко всем действиям. Смертельно ранен (HP &lt; 1): −4 ко всем действиям, −6 MOVE, спасбросок смерти в начале хода.</t>
        </is>
      </c>
    </row>
    <row r="77" ht="26" customHeight="1">
      <c r="B77" s="32" t="inlineStr">
        <is>
          <t>▪ Крит-травма: два и более «6» на кубах урона. Даёт +5 урона НАПРЯМУЮ в HP (SP не гасит) и эффект с листа 06.</t>
        </is>
      </c>
    </row>
    <row r="78" ht="26" customHeight="1">
      <c r="B78" s="32" t="inlineStr">
        <is>
          <t>▪ Смертельно раненый получает крит-травму от каждой атаки ближнего/дальнего боя и +1 к штрафу спасброска.</t>
        </is>
      </c>
    </row>
    <row r="79" ht="26" customHeight="1">
      <c r="B79" s="32" t="inlineStr">
        <is>
          <t>▪ REF 8+ — можно уклоняться (Evasion) от дальних атак. REF ниже — только от ближних.</t>
        </is>
      </c>
    </row>
    <row r="80" ht="26" customHeight="1">
      <c r="B80" s="32" t="inlineStr">
        <is>
          <t>▪ Прицельный выстрел в голову: −8 к атаке, урон ×2; при треснувшем черепе ×3. Прицельный в оружие/ногу: −4 (см. СПРАВКА).</t>
        </is>
      </c>
    </row>
    <row r="81" ht="26" customHeight="1">
      <c r="B81" s="32" t="inlineStr">
        <is>
          <t>▪ Укрытие бинарно: либо ты полностью за тем, что держит пулю и по тебе не попасть (урон уходит в укрытие), либо тебя видно — и тогда ты не в укрытии. Щит — подвижное укрытие: принимает весь урон в свои HP, но уклоняться с ним нельзя.</t>
        </is>
      </c>
    </row>
    <row r="82" ht="26" customHeight="1">
      <c r="B82" s="32" t="inlineStr">
        <is>
          <t>▪ Hardened / SP: урон меньше SP = 0 урона, но броня аблейтится на 1 (при пробитии — тоже на 1).</t>
        </is>
      </c>
    </row>
    <row r="83" ht="26" customHeight="1">
      <c r="B83" s="32" t="inlineStr">
        <is>
          <t>▪ LAWMAN: ранг Backup = ранг роли. Вызов подкрепления — Действие, 1d10 ≤ ранг. Отставной коп зовёт только «своих».</t>
        </is>
      </c>
    </row>
  </sheetData>
  <mergeCells count="95">
    <mergeCell ref="E31:G31"/>
    <mergeCell ref="B31:C31"/>
    <mergeCell ref="B82:G82"/>
    <mergeCell ref="E26:G26"/>
    <mergeCell ref="E57:G57"/>
    <mergeCell ref="B74:G74"/>
    <mergeCell ref="B68:G68"/>
    <mergeCell ref="B69:C69"/>
    <mergeCell ref="B38:C38"/>
    <mergeCell ref="B5:G5"/>
    <mergeCell ref="B76:G76"/>
    <mergeCell ref="B4:D4"/>
    <mergeCell ref="B55:C55"/>
    <mergeCell ref="B24:C24"/>
    <mergeCell ref="E42:G42"/>
    <mergeCell ref="B33:C33"/>
    <mergeCell ref="B22:G22"/>
    <mergeCell ref="B59:G59"/>
    <mergeCell ref="B51:C51"/>
    <mergeCell ref="E35:G35"/>
    <mergeCell ref="B32:C32"/>
    <mergeCell ref="E44:G44"/>
    <mergeCell ref="B26:C26"/>
    <mergeCell ref="B35:C35"/>
    <mergeCell ref="E28:G28"/>
    <mergeCell ref="B25:C25"/>
    <mergeCell ref="E69:G69"/>
    <mergeCell ref="B1:G1"/>
    <mergeCell ref="E30:G30"/>
    <mergeCell ref="B18:C18"/>
    <mergeCell ref="B27:C27"/>
    <mergeCell ref="B78:G78"/>
    <mergeCell ref="E46:G46"/>
    <mergeCell ref="E70:G70"/>
    <mergeCell ref="D19:G19"/>
    <mergeCell ref="B53:C53"/>
    <mergeCell ref="E54:G54"/>
    <mergeCell ref="E32:G32"/>
    <mergeCell ref="E41:G41"/>
    <mergeCell ref="B29:C29"/>
    <mergeCell ref="B37:C37"/>
    <mergeCell ref="F3"/>
    <mergeCell ref="E47:G47"/>
    <mergeCell ref="B50:G50"/>
    <mergeCell ref="E56:G56"/>
    <mergeCell ref="E43:G43"/>
    <mergeCell ref="E71:G71"/>
    <mergeCell ref="E24:G24"/>
    <mergeCell ref="E33:G33"/>
    <mergeCell ref="F48:G48"/>
    <mergeCell ref="E73:G73"/>
    <mergeCell ref="B77:G77"/>
    <mergeCell ref="B54:C54"/>
    <mergeCell ref="B72:C72"/>
    <mergeCell ref="B61:G61"/>
    <mergeCell ref="E34:G34"/>
    <mergeCell ref="B56:C56"/>
    <mergeCell ref="B71:C71"/>
    <mergeCell ref="B52:C52"/>
    <mergeCell ref="E36:G36"/>
    <mergeCell ref="E45:G45"/>
    <mergeCell ref="G72"/>
    <mergeCell ref="B40:G40"/>
    <mergeCell ref="B57:C57"/>
    <mergeCell ref="B80:G80"/>
    <mergeCell ref="B19:C19"/>
    <mergeCell ref="B34:C34"/>
    <mergeCell ref="E37:G37"/>
    <mergeCell ref="B79:G79"/>
    <mergeCell ref="B28:C28"/>
    <mergeCell ref="B81:G81"/>
    <mergeCell ref="B30:C30"/>
    <mergeCell ref="E23:G23"/>
    <mergeCell ref="B58:G58"/>
    <mergeCell ref="E51:G51"/>
    <mergeCell ref="B70:C70"/>
    <mergeCell ref="B48:C48"/>
    <mergeCell ref="F4"/>
    <mergeCell ref="E27:G27"/>
    <mergeCell ref="B23:C23"/>
    <mergeCell ref="B83:G83"/>
    <mergeCell ref="E25:G25"/>
    <mergeCell ref="B6:G6"/>
    <mergeCell ref="B73:C73"/>
    <mergeCell ref="B20:G20"/>
    <mergeCell ref="E53:G53"/>
    <mergeCell ref="B75:G75"/>
    <mergeCell ref="E55:G55"/>
    <mergeCell ref="B3:D3"/>
    <mergeCell ref="E52:G52"/>
    <mergeCell ref="F2"/>
    <mergeCell ref="B36:C36"/>
    <mergeCell ref="E29:G29"/>
    <mergeCell ref="B2:D2"/>
    <mergeCell ref="E38:G38"/>
  </mergeCells>
  <conditionalFormatting sqref="D19">
    <cfRule type="expression" priority="1" dxfId="2" stopIfTrue="0">
      <formula>LEFT($D$19,1)="✔"</formula>
    </cfRule>
    <cfRule type="expression" priority="2" dxfId="1" stopIfTrue="0">
      <formula>LEFT($D$19,1)="✖"</formula>
    </cfRule>
  </conditionalFormatting>
  <conditionalFormatting sqref="G18">
    <cfRule type="expression" priority="3" dxfId="1" stopIfTrue="0">
      <formula>LEFT($G$18,1)&lt;&gt;"✔"</formula>
    </cfRule>
  </conditionalFormatting>
  <conditionalFormatting sqref="D38">
    <cfRule type="expression" priority="4" dxfId="1" stopIfTrue="0">
      <formula>LEFT($D$38,1)="⚠"</formula>
    </cfRule>
  </conditionalFormatting>
  <conditionalFormatting sqref="G4">
    <cfRule type="expression" priority="5" dxfId="1" stopIfTrue="0">
      <formula>LEFT($G$4,1)="⚠"</formula>
    </cfRule>
  </conditionalFormatting>
  <conditionalFormatting sqref="D36">
    <cfRule type="expression" priority="6" dxfId="1" stopIfTrue="0">
      <formula>OR($D$36&lt;10,$D$36&lt;0)</formula>
    </cfRule>
  </conditionalFormatting>
  <conditionalFormatting sqref="E48">
    <cfRule type="expression" priority="7" dxfId="1" stopIfTrue="0">
      <formula>LEFT($E$48,1)="✖"</formula>
    </cfRule>
  </conditionalFormatting>
  <dataValidations count="2">
    <dataValidation sqref="G2" showDropDown="0" showInputMessage="0" showErrorMessage="0" allowBlank="1" type="whole" operator="between">
      <formula1>1</formula1>
      <formula2>10</formula2>
    </dataValidation>
    <dataValidation sqref="D8:D17" showDropDown="0" showInputMessage="0" showErrorMessage="0" allowBlank="1" type="whole" operator="between">
      <formula1>2</formula1>
      <formula2>8</formula2>
    </dataValidation>
  </dataValidations>
  <pageMargins left="0.75" right="0.75" top="1" bottom="1" header="0.5" footer="0.5"/>
  <pageSetup orientation="portrait" fitToHeight="0" fitToWidth="1"/>
</worksheet>
</file>

<file path=xl/worksheets/sheet3.xml><?xml version="1.0" encoding="utf-8"?>
<worksheet xmlns="http://schemas.openxmlformats.org/spreadsheetml/2006/main">
  <sheetPr>
    <tabColor rgb="000F6E7C"/>
    <outlinePr summaryBelow="1" summaryRight="1"/>
    <pageSetUpPr fitToPage="1"/>
  </sheetPr>
  <dimension ref="B1:L106"/>
  <sheetViews>
    <sheetView showGridLines="0" workbookViewId="0">
      <pane ySplit="4" topLeftCell="A5" activePane="bottomLeft" state="frozen"/>
      <selection pane="bottomLeft" activeCell="A1" sqref="A1"/>
    </sheetView>
  </sheetViews>
  <sheetFormatPr baseColWidth="8" defaultRowHeight="15"/>
  <cols>
    <col width="2" customWidth="1" min="1" max="1"/>
    <col width="17" customWidth="1" min="2" max="2"/>
    <col width="30" customWidth="1" min="3" max="3"/>
    <col width="7" customWidth="1" min="4" max="4"/>
    <col width="6" customWidth="1" min="5" max="5"/>
    <col width="7" customWidth="1" min="6" max="6"/>
    <col width="8" customWidth="1" min="7" max="7"/>
    <col width="8" customWidth="1" min="8" max="8"/>
    <col width="8" customWidth="1" min="9" max="9"/>
    <col width="8" customWidth="1" min="10" max="10"/>
    <col width="30" customWidth="1" min="11" max="11"/>
    <col width="40" customWidth="1" min="12" max="12"/>
    <col width="2" customWidth="1" min="13" max="13"/>
  </cols>
  <sheetData>
    <row r="1" ht="20" customHeight="1">
      <c r="B1" s="1" t="inlineStr">
        <is>
          <t>НАВЫКИ  ▚  86 ОЧКОВ  ▚  МАКСИМУМ 6 ПРИ СОЗДАНИИ  ▚  МИН. 2 В 13 ОБЯЗАТЕЛЬНЫХ</t>
        </is>
      </c>
    </row>
    <row r="2">
      <c r="B2" s="8" t="inlineStr">
        <is>
          <t>РАБОЧАЯ ТАБЛИЦА НАВЫКОВ · ЗАПОЛНЯЙ ТОЛЬКО СТОЛБЕЦ «УР.»</t>
        </is>
      </c>
      <c r="C2" s="18" t="n"/>
      <c r="D2" s="18" t="n"/>
      <c r="E2" s="19" t="n"/>
      <c r="F2" s="20" t="inlineStr">
        <is>
          <t>РАСКИДАНО</t>
        </is>
      </c>
      <c r="G2" s="30">
        <f>SUM($J$5:$J$76)</f>
        <v/>
      </c>
      <c r="H2" s="20" t="inlineStr">
        <is>
          <t>ОСТАТОК</t>
        </is>
      </c>
      <c r="I2" s="30">
        <f>86-$G$2</f>
        <v/>
      </c>
      <c r="J2" s="22">
        <f>IF($I$2=0,"✔ 86 очков распределены полностью",IF($I$2&gt;0,"свободно: "&amp;$I$2&amp;" очков","✖ перебор на "&amp;-$I$2&amp;" очков"))</f>
        <v/>
      </c>
      <c r="K2" s="18" t="n"/>
      <c r="L2" s="19" t="n"/>
    </row>
    <row r="3" ht="26" customHeight="1">
      <c r="B3" s="6" t="inlineStr">
        <is>
          <t>★ — обязательный пакет роли LAWMAN (мин. 2 каждому): Autofire (×2), Criminology, Deduction, Handgun, Interrogation, Shoulder Arms, Tracking. ☆ — пакет Solo на случай смены роли. 13 обязательных для всех: Athletics, Brawling, Concentration, Conversation, Education, Evasion, First Aid, Human Perception, Language (Streetslang), Local Expert (твой район), Perception, Persuasion, Stealth. Навыки с ×2 стоят 2 очка за уровень.</t>
        </is>
      </c>
    </row>
    <row r="4">
      <c r="B4" s="20" t="inlineStr">
        <is>
          <t>ГРУППА</t>
        </is>
      </c>
      <c r="C4" s="20" t="inlineStr">
        <is>
          <t>НАВЫК</t>
        </is>
      </c>
      <c r="D4" s="20" t="inlineStr">
        <is>
          <t>СТАТА</t>
        </is>
      </c>
      <c r="E4" s="20" t="inlineStr">
        <is>
          <t>×2</t>
        </is>
      </c>
      <c r="F4" s="20" t="inlineStr">
        <is>
          <t>РОЛЬ</t>
        </is>
      </c>
      <c r="G4" s="20" t="inlineStr">
        <is>
          <t>УР.</t>
        </is>
      </c>
      <c r="H4" s="20" t="inlineStr">
        <is>
          <t>СТАТА</t>
        </is>
      </c>
      <c r="I4" s="20" t="inlineStr">
        <is>
          <t>БАЗА</t>
        </is>
      </c>
      <c r="J4" s="20" t="inlineStr">
        <is>
          <t>ОЧКИ</t>
        </is>
      </c>
      <c r="K4" s="20" t="inlineStr">
        <is>
          <t>СПЕЦИАЛИЗАЦИЯ</t>
        </is>
      </c>
      <c r="L4" s="20" t="inlineStr">
        <is>
          <t>ЧТО ЭТО / ЗАМЕТКА</t>
        </is>
      </c>
    </row>
    <row r="5" ht="18" customHeight="1">
      <c r="B5" s="33" t="inlineStr">
        <is>
          <t>Осознание</t>
        </is>
      </c>
      <c r="C5" s="34" t="inlineStr">
        <is>
          <t>Concentration</t>
        </is>
      </c>
      <c r="D5" s="35" t="inlineStr">
        <is>
          <t>WILL</t>
        </is>
      </c>
      <c r="E5" s="35" t="inlineStr"/>
      <c r="F5" s="36" t="inlineStr">
        <is>
          <t>☆</t>
        </is>
      </c>
      <c r="G5" s="7" t="n">
        <v>2</v>
      </c>
      <c r="H5" s="30">
        <f>IFERROR(INDEX('02 ОСНОВА'!$F$8:$F$17,MATCH($D5,'02 ОСНОВА'!$B$8:$B$17,0)),"")</f>
        <v/>
      </c>
      <c r="I5" s="30">
        <f>IF($G5="","",$G5+IFERROR($H5,0))</f>
        <v/>
      </c>
      <c r="J5" s="30">
        <f>IF($G5="",0,IF($E5="×2",$G5*2,$G5))</f>
        <v/>
      </c>
      <c r="K5" s="9" t="n"/>
      <c r="L5" s="21" t="inlineStr">
        <is>
          <t>ОБЯЗАТЕЛЬНЫЙ: минимум 2. Фокусировка и ментальный контроль, память, игнорирование отвлекающих факторов.</t>
        </is>
      </c>
    </row>
    <row r="6" ht="18" customHeight="1">
      <c r="B6" s="33" t="inlineStr">
        <is>
          <t>Осознание</t>
        </is>
      </c>
      <c r="C6" s="33" t="inlineStr">
        <is>
          <t>Conceal/Reveal Object</t>
        </is>
      </c>
      <c r="D6" s="35" t="inlineStr">
        <is>
          <t>INT</t>
        </is>
      </c>
      <c r="E6" s="35" t="inlineStr"/>
      <c r="F6" s="36" t="inlineStr"/>
      <c r="G6" s="7" t="n"/>
      <c r="H6" s="30">
        <f>IFERROR(INDEX('02 ОСНОВА'!$F$8:$F$17,MATCH($D6,'02 ОСНОВА'!$B$8:$B$17,0)),"")</f>
        <v/>
      </c>
      <c r="I6" s="30">
        <f>IF($G6="","",$G6+IFERROR($H6,0))</f>
        <v/>
      </c>
      <c r="J6" s="30">
        <f>IF($G6="",0,IF($E6="×2",$G6*2,$G6))</f>
        <v/>
      </c>
      <c r="K6" s="9" t="n"/>
      <c r="L6" s="21" t="inlineStr">
        <is>
          <t>Скрытие и поиск спрятанных объектов. Прятать оружие под одеждой и выявлять его.</t>
        </is>
      </c>
    </row>
    <row r="7" ht="18" customHeight="1">
      <c r="B7" s="33" t="inlineStr">
        <is>
          <t>Осознание</t>
        </is>
      </c>
      <c r="C7" s="33" t="inlineStr">
        <is>
          <t>Lip Reading</t>
        </is>
      </c>
      <c r="D7" s="35" t="inlineStr">
        <is>
          <t>INT</t>
        </is>
      </c>
      <c r="E7" s="35" t="inlineStr"/>
      <c r="F7" s="36" t="inlineStr"/>
      <c r="G7" s="7" t="n"/>
      <c r="H7" s="30">
        <f>IFERROR(INDEX('02 ОСНОВА'!$F$8:$F$17,MATCH($D7,'02 ОСНОВА'!$B$8:$B$17,0)),"")</f>
        <v/>
      </c>
      <c r="I7" s="30">
        <f>IF($G7="","",$G7+IFERROR($H7,0))</f>
        <v/>
      </c>
      <c r="J7" s="30">
        <f>IF($G7="",0,IF($E7="×2",$G7*2,$G7))</f>
        <v/>
      </c>
      <c r="K7" s="9" t="n"/>
      <c r="L7" s="21" t="inlineStr">
        <is>
          <t>Чтение по губам.</t>
        </is>
      </c>
    </row>
    <row r="8" ht="18" customHeight="1">
      <c r="B8" s="33" t="inlineStr">
        <is>
          <t>Осознание</t>
        </is>
      </c>
      <c r="C8" s="34" t="inlineStr">
        <is>
          <t>Perception</t>
        </is>
      </c>
      <c r="D8" s="35" t="inlineStr">
        <is>
          <t>INT</t>
        </is>
      </c>
      <c r="E8" s="35" t="inlineStr"/>
      <c r="F8" s="36" t="inlineStr">
        <is>
          <t>☆</t>
        </is>
      </c>
      <c r="G8" s="7" t="n">
        <v>6</v>
      </c>
      <c r="H8" s="30">
        <f>IFERROR(INDEX('02 ОСНОВА'!$F$8:$F$17,MATCH($D8,'02 ОСНОВА'!$B$8:$B$17,0)),"")</f>
        <v/>
      </c>
      <c r="I8" s="30">
        <f>IF($G8="","",$G8+IFERROR($H8,0))</f>
        <v/>
      </c>
      <c r="J8" s="30">
        <f>IF($G8="",0,IF($E8="×2",$G8*2,$G8))</f>
        <v/>
      </c>
      <c r="K8" s="9" t="n"/>
      <c r="L8" s="21" t="inlineStr">
        <is>
          <t>ОБЯЗАТЕЛЬНЫЙ: минимум 2. Обнаружение скрытого: улики, ловушки, крадущиеся (но не спрятанное Conceal/Reveal Object).</t>
        </is>
      </c>
    </row>
    <row r="9" ht="18" customHeight="1">
      <c r="B9" s="33" t="inlineStr">
        <is>
          <t>Осознание</t>
        </is>
      </c>
      <c r="C9" s="33" t="inlineStr">
        <is>
          <t>Tracking</t>
        </is>
      </c>
      <c r="D9" s="35" t="inlineStr">
        <is>
          <t>INT</t>
        </is>
      </c>
      <c r="E9" s="35" t="inlineStr"/>
      <c r="F9" s="36" t="inlineStr">
        <is>
          <t>★</t>
        </is>
      </c>
      <c r="G9" s="7" t="n">
        <v>4</v>
      </c>
      <c r="H9" s="30">
        <f>IFERROR(INDEX('02 ОСНОВА'!$F$8:$F$17,MATCH($D9,'02 ОСНОВА'!$B$8:$B$17,0)),"")</f>
        <v/>
      </c>
      <c r="I9" s="30">
        <f>IF($G9="","",$G9+IFERROR($H9,0))</f>
        <v/>
      </c>
      <c r="J9" s="30">
        <f>IF($G9="",0,IF($E9="×2",$G9*2,$G9))</f>
        <v/>
      </c>
      <c r="K9" s="9" t="n"/>
      <c r="L9" s="21" t="inlineStr">
        <is>
          <t>Отслеживание по следам и уликам.</t>
        </is>
      </c>
    </row>
    <row r="10" ht="18" customHeight="1">
      <c r="B10" s="21" t="inlineStr">
        <is>
          <t>Тело</t>
        </is>
      </c>
      <c r="C10" s="37" t="inlineStr">
        <is>
          <t>Athletics</t>
        </is>
      </c>
      <c r="D10" s="31" t="inlineStr">
        <is>
          <t>DEX</t>
        </is>
      </c>
      <c r="E10" s="31" t="inlineStr"/>
      <c r="F10" s="38" t="inlineStr">
        <is>
          <t>☆</t>
        </is>
      </c>
      <c r="G10" s="7" t="n">
        <v>2</v>
      </c>
      <c r="H10" s="30">
        <f>IFERROR(INDEX('02 ОСНОВА'!$F$8:$F$17,MATCH($D10,'02 ОСНОВА'!$B$8:$B$17,0)),"")</f>
        <v/>
      </c>
      <c r="I10" s="30">
        <f>IF($G10="","",$G10+IFERROR($H10,0))</f>
        <v/>
      </c>
      <c r="J10" s="30">
        <f>IF($G10="",0,IF($E10="×2",$G10*2,$G10))</f>
        <v/>
      </c>
      <c r="K10" s="9" t="n"/>
      <c r="L10" s="21" t="inlineStr">
        <is>
          <t>ОБЯЗАТЕЛЬНЫЙ: минимум 2. Прыжки, карабкание, броски, лазание, плавание, подъём вещей.</t>
        </is>
      </c>
    </row>
    <row r="11" ht="18" customHeight="1">
      <c r="B11" s="21" t="inlineStr">
        <is>
          <t>Тело</t>
        </is>
      </c>
      <c r="C11" s="21" t="inlineStr">
        <is>
          <t>Contortionist</t>
        </is>
      </c>
      <c r="D11" s="31" t="inlineStr">
        <is>
          <t>DEX</t>
        </is>
      </c>
      <c r="E11" s="31" t="inlineStr"/>
      <c r="F11" s="38" t="inlineStr"/>
      <c r="G11" s="7" t="n"/>
      <c r="H11" s="30">
        <f>IFERROR(INDEX('02 ОСНОВА'!$F$8:$F$17,MATCH($D11,'02 ОСНОВА'!$B$8:$B$17,0)),"")</f>
        <v/>
      </c>
      <c r="I11" s="30">
        <f>IF($G11="","",$G11+IFERROR($H11,0))</f>
        <v/>
      </c>
      <c r="J11" s="30">
        <f>IF($G11="",0,IF($E11="×2",$G11*2,$G11))</f>
        <v/>
      </c>
      <c r="K11" s="9" t="n"/>
      <c r="L11" s="21" t="inlineStr">
        <is>
          <t>Выбраться из наручников, протискиваться в труднодоступные места.</t>
        </is>
      </c>
    </row>
    <row r="12" ht="18" customHeight="1">
      <c r="B12" s="21" t="inlineStr">
        <is>
          <t>Тело</t>
        </is>
      </c>
      <c r="C12" s="21" t="inlineStr">
        <is>
          <t>Dance</t>
        </is>
      </c>
      <c r="D12" s="31" t="inlineStr">
        <is>
          <t>DEX</t>
        </is>
      </c>
      <c r="E12" s="31" t="inlineStr"/>
      <c r="F12" s="38" t="inlineStr"/>
      <c r="G12" s="7" t="n"/>
      <c r="H12" s="30">
        <f>IFERROR(INDEX('02 ОСНОВА'!$F$8:$F$17,MATCH($D12,'02 ОСНОВА'!$B$8:$B$17,0)),"")</f>
        <v/>
      </c>
      <c r="I12" s="30">
        <f>IF($G12="","",$G12+IFERROR($H12,0))</f>
        <v/>
      </c>
      <c r="J12" s="30">
        <f>IF($G12="",0,IF($E12="×2",$G12*2,$G12))</f>
        <v/>
      </c>
      <c r="K12" s="9" t="n"/>
      <c r="L12" s="21" t="inlineStr">
        <is>
          <t>Профессиональные танцы.</t>
        </is>
      </c>
    </row>
    <row r="13" ht="18" customHeight="1">
      <c r="B13" s="21" t="inlineStr">
        <is>
          <t>Тело</t>
        </is>
      </c>
      <c r="C13" s="21" t="inlineStr">
        <is>
          <t>Endurance</t>
        </is>
      </c>
      <c r="D13" s="31" t="inlineStr">
        <is>
          <t>WILL</t>
        </is>
      </c>
      <c r="E13" s="31" t="inlineStr"/>
      <c r="F13" s="38" t="inlineStr"/>
      <c r="G13" s="7" t="n"/>
      <c r="H13" s="30">
        <f>IFERROR(INDEX('02 ОСНОВА'!$F$8:$F$17,MATCH($D13,'02 ОСНОВА'!$B$8:$B$17,0)),"")</f>
        <v/>
      </c>
      <c r="I13" s="30">
        <f>IF($G13="","",$G13+IFERROR($H13,0))</f>
        <v/>
      </c>
      <c r="J13" s="30">
        <f>IF($G13="",0,IF($E13="×2",$G13*2,$G13))</f>
        <v/>
      </c>
      <c r="K13" s="9" t="n"/>
      <c r="L13" s="21" t="inlineStr">
        <is>
          <t>Преодоление тяжёлых условий и тягот.</t>
        </is>
      </c>
    </row>
    <row r="14" ht="18" customHeight="1">
      <c r="B14" s="21" t="inlineStr">
        <is>
          <t>Тело</t>
        </is>
      </c>
      <c r="C14" s="21" t="inlineStr">
        <is>
          <t>Resist Torture/Drugs</t>
        </is>
      </c>
      <c r="D14" s="31" t="inlineStr">
        <is>
          <t>WILL</t>
        </is>
      </c>
      <c r="E14" s="31" t="inlineStr"/>
      <c r="F14" s="38" t="inlineStr">
        <is>
          <t>☆</t>
        </is>
      </c>
      <c r="G14" s="7" t="n"/>
      <c r="H14" s="30">
        <f>IFERROR(INDEX('02 ОСНОВА'!$F$8:$F$17,MATCH($D14,'02 ОСНОВА'!$B$8:$B$17,0)),"")</f>
        <v/>
      </c>
      <c r="I14" s="30">
        <f>IF($G14="","",$G14+IFERROR($H14,0))</f>
        <v/>
      </c>
      <c r="J14" s="30">
        <f>IF($G14="",0,IF($E14="×2",$G14*2,$G14))</f>
        <v/>
      </c>
      <c r="K14" s="9" t="n"/>
      <c r="L14" s="21" t="inlineStr">
        <is>
          <t>Сопротивление допросу, пыткам и наркотикам.</t>
        </is>
      </c>
    </row>
    <row r="15" ht="18" customHeight="1">
      <c r="B15" s="21" t="inlineStr">
        <is>
          <t>Тело</t>
        </is>
      </c>
      <c r="C15" s="37" t="inlineStr">
        <is>
          <t>Stealth</t>
        </is>
      </c>
      <c r="D15" s="31" t="inlineStr">
        <is>
          <t>DEX</t>
        </is>
      </c>
      <c r="E15" s="31" t="inlineStr"/>
      <c r="F15" s="38" t="inlineStr">
        <is>
          <t>☆</t>
        </is>
      </c>
      <c r="G15" s="7" t="n">
        <v>2</v>
      </c>
      <c r="H15" s="30">
        <f>IFERROR(INDEX('02 ОСНОВА'!$F$8:$F$17,MATCH($D15,'02 ОСНОВА'!$B$8:$B$17,0)),"")</f>
        <v/>
      </c>
      <c r="I15" s="30">
        <f>IF($G15="","",$G15+IFERROR($H15,0))</f>
        <v/>
      </c>
      <c r="J15" s="30">
        <f>IF($G15="",0,IF($E15="×2",$G15*2,$G15))</f>
        <v/>
      </c>
      <c r="K15" s="9" t="n"/>
      <c r="L15" s="21" t="inlineStr">
        <is>
          <t>ОБЯЗАТЕЛЬНЫЙ: минимум 2. Тихое перемещение и скрытность. Против — Perception.</t>
        </is>
      </c>
    </row>
    <row r="16" ht="18" customHeight="1">
      <c r="B16" s="33" t="inlineStr">
        <is>
          <t>Управление</t>
        </is>
      </c>
      <c r="C16" s="33" t="inlineStr">
        <is>
          <t>Drive Land Vehicle</t>
        </is>
      </c>
      <c r="D16" s="35" t="inlineStr">
        <is>
          <t>REF</t>
        </is>
      </c>
      <c r="E16" s="35" t="inlineStr"/>
      <c r="F16" s="36" t="inlineStr"/>
      <c r="G16" s="7" t="n"/>
      <c r="H16" s="30">
        <f>IFERROR(INDEX('02 ОСНОВА'!$F$8:$F$17,MATCH($D16,'02 ОСНОВА'!$B$8:$B$17,0)),"")</f>
        <v/>
      </c>
      <c r="I16" s="30">
        <f>IF($G16="","",$G16+IFERROR($H16,0))</f>
        <v/>
      </c>
      <c r="J16" s="30">
        <f>IF($G16="",0,IF($E16="×2",$G16*2,$G16))</f>
        <v/>
      </c>
      <c r="K16" s="9" t="n"/>
      <c r="L16" s="21" t="inlineStr">
        <is>
          <t>Вождение наземного транспорта.</t>
        </is>
      </c>
    </row>
    <row r="17" ht="18" customHeight="1">
      <c r="B17" s="33" t="inlineStr">
        <is>
          <t>Управление</t>
        </is>
      </c>
      <c r="C17" s="33" t="inlineStr">
        <is>
          <t>Pilot Air Vehicle</t>
        </is>
      </c>
      <c r="D17" s="35" t="inlineStr">
        <is>
          <t>REF</t>
        </is>
      </c>
      <c r="E17" s="35" t="inlineStr">
        <is>
          <t>×2</t>
        </is>
      </c>
      <c r="F17" s="36" t="inlineStr"/>
      <c r="G17" s="7" t="n"/>
      <c r="H17" s="30">
        <f>IFERROR(INDEX('02 ОСНОВА'!$F$8:$F$17,MATCH($D17,'02 ОСНОВА'!$B$8:$B$17,0)),"")</f>
        <v/>
      </c>
      <c r="I17" s="30">
        <f>IF($G17="","",$G17+IFERROR($H17,0))</f>
        <v/>
      </c>
      <c r="J17" s="30">
        <f>IF($G17="",0,IF($E17="×2",$G17*2,$G17))</f>
        <v/>
      </c>
      <c r="K17" s="9" t="n"/>
      <c r="L17" s="21" t="inlineStr"/>
    </row>
    <row r="18" ht="18" customHeight="1">
      <c r="B18" s="33" t="inlineStr">
        <is>
          <t>Управление</t>
        </is>
      </c>
      <c r="C18" s="33" t="inlineStr">
        <is>
          <t>Pilot Sea Vehicle</t>
        </is>
      </c>
      <c r="D18" s="35" t="inlineStr">
        <is>
          <t>REF</t>
        </is>
      </c>
      <c r="E18" s="35" t="inlineStr"/>
      <c r="F18" s="36" t="inlineStr"/>
      <c r="G18" s="7" t="n"/>
      <c r="H18" s="30">
        <f>IFERROR(INDEX('02 ОСНОВА'!$F$8:$F$17,MATCH($D18,'02 ОСНОВА'!$B$8:$B$17,0)),"")</f>
        <v/>
      </c>
      <c r="I18" s="30">
        <f>IF($G18="","",$G18+IFERROR($H18,0))</f>
        <v/>
      </c>
      <c r="J18" s="30">
        <f>IF($G18="",0,IF($E18="×2",$G18*2,$G18))</f>
        <v/>
      </c>
      <c r="K18" s="9" t="n"/>
      <c r="L18" s="21" t="inlineStr">
        <is>
          <t>Управление водным транспортом.</t>
        </is>
      </c>
    </row>
    <row r="19" ht="18" customHeight="1">
      <c r="B19" s="33" t="inlineStr">
        <is>
          <t>Управление</t>
        </is>
      </c>
      <c r="C19" s="33" t="inlineStr">
        <is>
          <t>Riding</t>
        </is>
      </c>
      <c r="D19" s="35" t="inlineStr">
        <is>
          <t>REF</t>
        </is>
      </c>
      <c r="E19" s="35" t="inlineStr"/>
      <c r="F19" s="36" t="inlineStr"/>
      <c r="G19" s="7" t="n"/>
      <c r="H19" s="30">
        <f>IFERROR(INDEX('02 ОСНОВА'!$F$8:$F$17,MATCH($D19,'02 ОСНОВА'!$B$8:$B$17,0)),"")</f>
        <v/>
      </c>
      <c r="I19" s="30">
        <f>IF($G19="","",$G19+IFERROR($H19,0))</f>
        <v/>
      </c>
      <c r="J19" s="30">
        <f>IF($G19="",0,IF($E19="×2",$G19*2,$G19))</f>
        <v/>
      </c>
      <c r="K19" s="9" t="n"/>
      <c r="L19" s="21" t="inlineStr">
        <is>
          <t>Верховая езда на обученном животном.</t>
        </is>
      </c>
    </row>
    <row r="20" ht="18" customHeight="1">
      <c r="B20" s="21" t="inlineStr">
        <is>
          <t>Образование</t>
        </is>
      </c>
      <c r="C20" s="21" t="inlineStr">
        <is>
          <t>Accounting</t>
        </is>
      </c>
      <c r="D20" s="31" t="inlineStr">
        <is>
          <t>INT</t>
        </is>
      </c>
      <c r="E20" s="31" t="inlineStr"/>
      <c r="F20" s="38" t="inlineStr"/>
      <c r="G20" s="7" t="n"/>
      <c r="H20" s="30">
        <f>IFERROR(INDEX('02 ОСНОВА'!$F$8:$F$17,MATCH($D20,'02 ОСНОВА'!$B$8:$B$17,0)),"")</f>
        <v/>
      </c>
      <c r="I20" s="30">
        <f>IF($G20="","",$G20+IFERROR($H20,0))</f>
        <v/>
      </c>
      <c r="J20" s="30">
        <f>IF($G20="",0,IF($E20="×2",$G20*2,$G20))</f>
        <v/>
      </c>
      <c r="K20" s="9" t="n"/>
      <c r="L20" s="21" t="inlineStr">
        <is>
          <t>Бухгалтерия: липовые отчёты и их выявление, бюджет, бизнес-операции.</t>
        </is>
      </c>
    </row>
    <row r="21" ht="18" customHeight="1">
      <c r="B21" s="21" t="inlineStr">
        <is>
          <t>Образование</t>
        </is>
      </c>
      <c r="C21" s="21" t="inlineStr">
        <is>
          <t>Animal Handling</t>
        </is>
      </c>
      <c r="D21" s="31" t="inlineStr">
        <is>
          <t>INT</t>
        </is>
      </c>
      <c r="E21" s="31" t="inlineStr"/>
      <c r="F21" s="38" t="inlineStr"/>
      <c r="G21" s="7" t="n"/>
      <c r="H21" s="30">
        <f>IFERROR(INDEX('02 ОСНОВА'!$F$8:$F$17,MATCH($D21,'02 ОСНОВА'!$B$8:$B$17,0)),"")</f>
        <v/>
      </c>
      <c r="I21" s="30">
        <f>IF($G21="","",$G21+IFERROR($H21,0))</f>
        <v/>
      </c>
      <c r="J21" s="30">
        <f>IF($G21="",0,IF($E21="×2",$G21*2,$G21))</f>
        <v/>
      </c>
      <c r="K21" s="9" t="n"/>
      <c r="L21" s="21" t="inlineStr">
        <is>
          <t>Обращение, дрессировка и уход за животными.</t>
        </is>
      </c>
    </row>
    <row r="22" ht="18" customHeight="1">
      <c r="B22" s="21" t="inlineStr">
        <is>
          <t>Образование</t>
        </is>
      </c>
      <c r="C22" s="21" t="inlineStr">
        <is>
          <t>Bureaucracy</t>
        </is>
      </c>
      <c r="D22" s="31" t="inlineStr">
        <is>
          <t>INT</t>
        </is>
      </c>
      <c r="E22" s="31" t="inlineStr"/>
      <c r="F22" s="38" t="inlineStr"/>
      <c r="G22" s="7" t="n"/>
      <c r="H22" s="30">
        <f>IFERROR(INDEX('02 ОСНОВА'!$F$8:$F$17,MATCH($D22,'02 ОСНОВА'!$B$8:$B$17,0)),"")</f>
        <v/>
      </c>
      <c r="I22" s="30">
        <f>IF($G22="","",$G22+IFERROR($H22,0))</f>
        <v/>
      </c>
      <c r="J22" s="30">
        <f>IF($G22="",0,IF($E22="×2",$G22*2,$G22))</f>
        <v/>
      </c>
      <c r="K22" s="9" t="n"/>
      <c r="L22" s="21" t="inlineStr">
        <is>
          <t>Работа с бюрократией: с кем говорить и как выбивать информацию.</t>
        </is>
      </c>
    </row>
    <row r="23" ht="18" customHeight="1">
      <c r="B23" s="21" t="inlineStr">
        <is>
          <t>Образование</t>
        </is>
      </c>
      <c r="C23" s="21" t="inlineStr">
        <is>
          <t>Business</t>
        </is>
      </c>
      <c r="D23" s="31" t="inlineStr">
        <is>
          <t>INT</t>
        </is>
      </c>
      <c r="E23" s="31" t="inlineStr"/>
      <c r="F23" s="38" t="inlineStr"/>
      <c r="G23" s="7" t="n"/>
      <c r="H23" s="30">
        <f>IFERROR(INDEX('02 ОСНОВА'!$F$8:$F$17,MATCH($D23,'02 ОСНОВА'!$B$8:$B$17,0)),"")</f>
        <v/>
      </c>
      <c r="I23" s="30">
        <f>IF($G23="","",$G23+IFERROR($H23,0))</f>
        <v/>
      </c>
      <c r="J23" s="30">
        <f>IF($G23="",0,IF($E23="×2",$G23*2,$G23))</f>
        <v/>
      </c>
      <c r="K23" s="9" t="n"/>
      <c r="L23" s="21" t="inlineStr">
        <is>
          <t>Бизнес-практики, спрос и предложение, закупки, продажи, маркетинг.</t>
        </is>
      </c>
    </row>
    <row r="24" ht="18" customHeight="1">
      <c r="B24" s="21" t="inlineStr">
        <is>
          <t>Образование</t>
        </is>
      </c>
      <c r="C24" s="21" t="inlineStr">
        <is>
          <t>Composition</t>
        </is>
      </c>
      <c r="D24" s="31" t="inlineStr">
        <is>
          <t>INT</t>
        </is>
      </c>
      <c r="E24" s="31" t="inlineStr"/>
      <c r="F24" s="38" t="inlineStr"/>
      <c r="G24" s="7" t="n"/>
      <c r="H24" s="30">
        <f>IFERROR(INDEX('02 ОСНОВА'!$F$8:$F$17,MATCH($D24,'02 ОСНОВА'!$B$8:$B$17,0)),"")</f>
        <v/>
      </c>
      <c r="I24" s="30">
        <f>IF($G24="","",$G24+IFERROR($H24,0))</f>
        <v/>
      </c>
      <c r="J24" s="30">
        <f>IF($G24="",0,IF($E24="×2",$G24*2,$G24))</f>
        <v/>
      </c>
      <c r="K24" s="9" t="n"/>
      <c r="L24" s="21" t="inlineStr">
        <is>
          <t>Профессиональное написание песен, статей, историй.</t>
        </is>
      </c>
    </row>
    <row r="25" ht="18" customHeight="1">
      <c r="B25" s="21" t="inlineStr">
        <is>
          <t>Образование</t>
        </is>
      </c>
      <c r="C25" s="21" t="inlineStr">
        <is>
          <t>Criminology</t>
        </is>
      </c>
      <c r="D25" s="31" t="inlineStr">
        <is>
          <t>INT</t>
        </is>
      </c>
      <c r="E25" s="31" t="inlineStr"/>
      <c r="F25" s="38" t="inlineStr">
        <is>
          <t>★</t>
        </is>
      </c>
      <c r="G25" s="7" t="n">
        <v>5</v>
      </c>
      <c r="H25" s="30">
        <f>IFERROR(INDEX('02 ОСНОВА'!$F$8:$F$17,MATCH($D25,'02 ОСНОВА'!$B$8:$B$17,0)),"")</f>
        <v/>
      </c>
      <c r="I25" s="30">
        <f>IF($G25="","",$G25+IFERROR($H25,0))</f>
        <v/>
      </c>
      <c r="J25" s="30">
        <f>IF($G25="",0,IF($E25="×2",$G25*2,$G25))</f>
        <v/>
      </c>
      <c r="K25" s="9" t="n"/>
      <c r="L25" s="21" t="inlineStr">
        <is>
          <t>Поиск улик: отпечатки, баллистика, полицейские базы.</t>
        </is>
      </c>
    </row>
    <row r="26" ht="18" customHeight="1">
      <c r="B26" s="21" t="inlineStr">
        <is>
          <t>Образование</t>
        </is>
      </c>
      <c r="C26" s="21" t="inlineStr">
        <is>
          <t>Cryptography</t>
        </is>
      </c>
      <c r="D26" s="31" t="inlineStr">
        <is>
          <t>INT</t>
        </is>
      </c>
      <c r="E26" s="31" t="inlineStr"/>
      <c r="F26" s="38" t="inlineStr"/>
      <c r="G26" s="7" t="n"/>
      <c r="H26" s="30">
        <f>IFERROR(INDEX('02 ОСНОВА'!$F$8:$F$17,MATCH($D26,'02 ОСНОВА'!$B$8:$B$17,0)),"")</f>
        <v/>
      </c>
      <c r="I26" s="30">
        <f>IF($G26="","",$G26+IFERROR($H26,0))</f>
        <v/>
      </c>
      <c r="J26" s="30">
        <f>IF($G26="",0,IF($E26="×2",$G26*2,$G26))</f>
        <v/>
      </c>
      <c r="K26" s="9" t="n"/>
      <c r="L26" s="21" t="inlineStr">
        <is>
          <t>Шифрование и расшифровка сообщений.</t>
        </is>
      </c>
    </row>
    <row r="27" ht="18" customHeight="1">
      <c r="B27" s="21" t="inlineStr">
        <is>
          <t>Образование</t>
        </is>
      </c>
      <c r="C27" s="21" t="inlineStr">
        <is>
          <t>Deduction</t>
        </is>
      </c>
      <c r="D27" s="31" t="inlineStr">
        <is>
          <t>INT</t>
        </is>
      </c>
      <c r="E27" s="31" t="inlineStr"/>
      <c r="F27" s="38" t="inlineStr">
        <is>
          <t>★</t>
        </is>
      </c>
      <c r="G27" s="7" t="n">
        <v>5</v>
      </c>
      <c r="H27" s="30">
        <f>IFERROR(INDEX('02 ОСНОВА'!$F$8:$F$17,MATCH($D27,'02 ОСНОВА'!$B$8:$B$17,0)),"")</f>
        <v/>
      </c>
      <c r="I27" s="30">
        <f>IF($G27="","",$G27+IFERROR($H27,0))</f>
        <v/>
      </c>
      <c r="J27" s="30">
        <f>IF($G27="",0,IF($E27="×2",$G27*2,$G27))</f>
        <v/>
      </c>
      <c r="K27" s="9" t="n"/>
      <c r="L27" s="21" t="inlineStr">
        <is>
          <t>Приходить к неочевидным выводам из улик (и мед. диагнозам).</t>
        </is>
      </c>
    </row>
    <row r="28" ht="18" customHeight="1">
      <c r="B28" s="21" t="inlineStr">
        <is>
          <t>Образование</t>
        </is>
      </c>
      <c r="C28" s="37" t="inlineStr">
        <is>
          <t>Education</t>
        </is>
      </c>
      <c r="D28" s="31" t="inlineStr">
        <is>
          <t>INT</t>
        </is>
      </c>
      <c r="E28" s="31" t="inlineStr"/>
      <c r="F28" s="38" t="inlineStr">
        <is>
          <t>☆</t>
        </is>
      </c>
      <c r="G28" s="7" t="n">
        <v>2</v>
      </c>
      <c r="H28" s="30">
        <f>IFERROR(INDEX('02 ОСНОВА'!$F$8:$F$17,MATCH($D28,'02 ОСНОВА'!$B$8:$B$17,0)),"")</f>
        <v/>
      </c>
      <c r="I28" s="30">
        <f>IF($G28="","",$G28+IFERROR($H28,0))</f>
        <v/>
      </c>
      <c r="J28" s="30">
        <f>IF($G28="",0,IF($E28="×2",$G28*2,$G28))</f>
        <v/>
      </c>
      <c r="K28" s="9" t="n"/>
      <c r="L28" s="21" t="inlineStr">
        <is>
          <t>ОБЯЗАТЕЛЬНЫЙ: минимум 2. Общая эрудиция: чтение, письмо, базовые вычисления, история.</t>
        </is>
      </c>
    </row>
    <row r="29" ht="18" customHeight="1">
      <c r="B29" s="21" t="inlineStr">
        <is>
          <t>Образование</t>
        </is>
      </c>
      <c r="C29" s="21" t="inlineStr">
        <is>
          <t>Gamble</t>
        </is>
      </c>
      <c r="D29" s="31" t="inlineStr">
        <is>
          <t>INT</t>
        </is>
      </c>
      <c r="E29" s="31" t="inlineStr"/>
      <c r="F29" s="38" t="inlineStr"/>
      <c r="G29" s="7" t="n"/>
      <c r="H29" s="30">
        <f>IFERROR(INDEX('02 ОСНОВА'!$F$8:$F$17,MATCH($D29,'02 ОСНОВА'!$B$8:$B$17,0)),"")</f>
        <v/>
      </c>
      <c r="I29" s="30">
        <f>IF($G29="","",$G29+IFERROR($H29,0))</f>
        <v/>
      </c>
      <c r="J29" s="30">
        <f>IF($G29="",0,IF($E29="×2",$G29*2,$G29))</f>
        <v/>
      </c>
      <c r="K29" s="9" t="n"/>
      <c r="L29" s="21" t="inlineStr">
        <is>
          <t>Вероятности и стратегия в азартных играх.</t>
        </is>
      </c>
    </row>
    <row r="30" ht="18" customHeight="1">
      <c r="B30" s="21" t="inlineStr">
        <is>
          <t>Образование</t>
        </is>
      </c>
      <c r="C30" s="37" t="inlineStr">
        <is>
          <t>Language</t>
        </is>
      </c>
      <c r="D30" s="31" t="inlineStr">
        <is>
          <t>INT</t>
        </is>
      </c>
      <c r="E30" s="31" t="inlineStr"/>
      <c r="F30" s="38" t="inlineStr">
        <is>
          <t>☆</t>
        </is>
      </c>
      <c r="G30" s="7" t="n">
        <v>2</v>
      </c>
      <c r="H30" s="30">
        <f>IFERROR(INDEX('02 ОСНОВА'!$F$8:$F$17,MATCH($D30,'02 ОСНОВА'!$B$8:$B$17,0)),"")</f>
        <v/>
      </c>
      <c r="I30" s="30">
        <f>IF($G30="","",$G30+IFERROR($H30,0))</f>
        <v/>
      </c>
      <c r="J30" s="30">
        <f>IF($G30="",0,IF($E30="×2",$G30*2,$G30))</f>
        <v/>
      </c>
      <c r="K30" s="9" t="inlineStr">
        <is>
          <t>Streetslang</t>
        </is>
      </c>
      <c r="L30" s="21" t="inlineStr">
        <is>
          <t>ОБЯЗАТЕЛЬНЫЙ: минимум 2. Конкретный язык (выбирается при прокачке).</t>
        </is>
      </c>
    </row>
    <row r="31" ht="18" customHeight="1">
      <c r="B31" s="21" t="inlineStr">
        <is>
          <t>Образование</t>
        </is>
      </c>
      <c r="C31" s="21" t="inlineStr">
        <is>
          <t>Library Search</t>
        </is>
      </c>
      <c r="D31" s="31" t="inlineStr">
        <is>
          <t>INT</t>
        </is>
      </c>
      <c r="E31" s="31" t="inlineStr"/>
      <c r="F31" s="38" t="inlineStr"/>
      <c r="G31" s="7" t="n"/>
      <c r="H31" s="30">
        <f>IFERROR(INDEX('02 ОСНОВА'!$F$8:$F$17,MATCH($D31,'02 ОСНОВА'!$B$8:$B$17,0)),"")</f>
        <v/>
      </c>
      <c r="I31" s="30">
        <f>IF($G31="","",$G31+IFERROR($H31,0))</f>
        <v/>
      </c>
      <c r="J31" s="30">
        <f>IF($G31="",0,IF($E31="×2",$G31*2,$G31))</f>
        <v/>
      </c>
      <c r="K31" s="9" t="n"/>
      <c r="L31" s="21" t="inlineStr">
        <is>
          <t>Поиск по базам данных, Data Pool, библиотекам.</t>
        </is>
      </c>
    </row>
    <row r="32" ht="18" customHeight="1">
      <c r="B32" s="21" t="inlineStr">
        <is>
          <t>Образование</t>
        </is>
      </c>
      <c r="C32" s="37" t="inlineStr">
        <is>
          <t>Local Expert</t>
        </is>
      </c>
      <c r="D32" s="31" t="inlineStr">
        <is>
          <t>INT</t>
        </is>
      </c>
      <c r="E32" s="31" t="inlineStr"/>
      <c r="F32" s="38" t="inlineStr">
        <is>
          <t>☆</t>
        </is>
      </c>
      <c r="G32" s="7" t="n">
        <v>2</v>
      </c>
      <c r="H32" s="30">
        <f>IFERROR(INDEX('02 ОСНОВА'!$F$8:$F$17,MATCH($D32,'02 ОСНОВА'!$B$8:$B$17,0)),"")</f>
        <v/>
      </c>
      <c r="I32" s="30">
        <f>IF($G32="","",$G32+IFERROR($H32,0))</f>
        <v/>
      </c>
      <c r="J32" s="30">
        <f>IF($G32="",0,IF($E32="×2",$G32*2,$G32))</f>
        <v/>
      </c>
      <c r="K32" s="9" t="inlineStr">
        <is>
          <t>Хейвуд</t>
        </is>
      </c>
      <c r="L32" s="21" t="inlineStr">
        <is>
          <t>ОБЯЗАТЕЛЬНЫЙ: минимум 2. Знание местности и целей группировок. Выберите район.</t>
        </is>
      </c>
    </row>
    <row r="33" ht="18" customHeight="1">
      <c r="B33" s="21" t="inlineStr">
        <is>
          <t>Образование</t>
        </is>
      </c>
      <c r="C33" s="21" t="inlineStr">
        <is>
          <t>Science</t>
        </is>
      </c>
      <c r="D33" s="31" t="inlineStr">
        <is>
          <t>INT</t>
        </is>
      </c>
      <c r="E33" s="31" t="inlineStr"/>
      <c r="F33" s="38" t="inlineStr"/>
      <c r="G33" s="7" t="n"/>
      <c r="H33" s="30">
        <f>IFERROR(INDEX('02 ОСНОВА'!$F$8:$F$17,MATCH($D33,'02 ОСНОВА'!$B$8:$B$17,0)),"")</f>
        <v/>
      </c>
      <c r="I33" s="30">
        <f>IF($G33="","",$G33+IFERROR($H33,0))</f>
        <v/>
      </c>
      <c r="J33" s="30">
        <f>IF($G33="",0,IF($E33="×2",$G33*2,$G33))</f>
        <v/>
      </c>
      <c r="K33" s="9" t="n"/>
      <c r="L33" s="21" t="inlineStr">
        <is>
          <t>Эксперименты, научные работы. Выберите область: геология, химия, биология…</t>
        </is>
      </c>
    </row>
    <row r="34" ht="18" customHeight="1">
      <c r="B34" s="21" t="inlineStr">
        <is>
          <t>Образование</t>
        </is>
      </c>
      <c r="C34" s="21" t="inlineStr">
        <is>
          <t>Tactics</t>
        </is>
      </c>
      <c r="D34" s="31" t="inlineStr">
        <is>
          <t>INT</t>
        </is>
      </c>
      <c r="E34" s="31" t="inlineStr"/>
      <c r="F34" s="38" t="inlineStr">
        <is>
          <t>☆</t>
        </is>
      </c>
      <c r="G34" s="7" t="n"/>
      <c r="H34" s="30">
        <f>IFERROR(INDEX('02 ОСНОВА'!$F$8:$F$17,MATCH($D34,'02 ОСНОВА'!$B$8:$B$17,0)),"")</f>
        <v/>
      </c>
      <c r="I34" s="30">
        <f>IF($G34="","",$G34+IFERROR($H34,0))</f>
        <v/>
      </c>
      <c r="J34" s="30">
        <f>IF($G34="",0,IF($E34="×2",$G34*2,$G34))</f>
        <v/>
      </c>
      <c r="K34" s="9" t="n"/>
      <c r="L34" s="21" t="inlineStr">
        <is>
          <t>Руководство большими битвами: как поведут себя силы противника.</t>
        </is>
      </c>
    </row>
    <row r="35" ht="18" customHeight="1">
      <c r="B35" s="21" t="inlineStr">
        <is>
          <t>Образование</t>
        </is>
      </c>
      <c r="C35" s="21" t="inlineStr">
        <is>
          <t>Wilderness Survival</t>
        </is>
      </c>
      <c r="D35" s="31" t="inlineStr">
        <is>
          <t>INT</t>
        </is>
      </c>
      <c r="E35" s="31" t="inlineStr"/>
      <c r="F35" s="38" t="inlineStr"/>
      <c r="G35" s="7" t="n"/>
      <c r="H35" s="30">
        <f>IFERROR(INDEX('02 ОСНОВА'!$F$8:$F$17,MATCH($D35,'02 ОСНОВА'!$B$8:$B$17,0)),"")</f>
        <v/>
      </c>
      <c r="I35" s="30">
        <f>IF($G35="","",$G35+IFERROR($H35,0))</f>
        <v/>
      </c>
      <c r="J35" s="30">
        <f>IF($G35="",0,IF($E35="×2",$G35*2,$G35))</f>
        <v/>
      </c>
      <c r="K35" s="9" t="n"/>
      <c r="L35" s="21" t="inlineStr">
        <is>
          <t>Выживание в дикой природе.</t>
        </is>
      </c>
    </row>
    <row r="36" ht="18" customHeight="1">
      <c r="B36" s="33" t="inlineStr">
        <is>
          <t>Бой</t>
        </is>
      </c>
      <c r="C36" s="34" t="inlineStr">
        <is>
          <t>Brawling</t>
        </is>
      </c>
      <c r="D36" s="35" t="inlineStr">
        <is>
          <t>DEX</t>
        </is>
      </c>
      <c r="E36" s="35" t="inlineStr"/>
      <c r="F36" s="36" t="inlineStr">
        <is>
          <t>☆</t>
        </is>
      </c>
      <c r="G36" s="7" t="n">
        <v>5</v>
      </c>
      <c r="H36" s="30">
        <f>IFERROR(INDEX('02 ОСНОВА'!$F$8:$F$17,MATCH($D36,'02 ОСНОВА'!$B$8:$B$17,0)),"")</f>
        <v/>
      </c>
      <c r="I36" s="30">
        <f>IF($G36="","",$G36+IFERROR($H36,0))</f>
        <v/>
      </c>
      <c r="J36" s="30">
        <f>IF($G36="",0,IF($E36="×2",$G36*2,$G36))</f>
        <v/>
      </c>
      <c r="K36" s="9" t="n"/>
      <c r="L36" s="21" t="inlineStr">
        <is>
          <t>ОБЯЗАТЕЛЬНЫЙ: минимум 2. Уличные драки и захваты грубой силой.</t>
        </is>
      </c>
    </row>
    <row r="37" ht="18" customHeight="1">
      <c r="B37" s="33" t="inlineStr">
        <is>
          <t>Бой</t>
        </is>
      </c>
      <c r="C37" s="34" t="inlineStr">
        <is>
          <t>Evasion</t>
        </is>
      </c>
      <c r="D37" s="35" t="inlineStr">
        <is>
          <t>DEX</t>
        </is>
      </c>
      <c r="E37" s="35" t="inlineStr"/>
      <c r="F37" s="36" t="inlineStr">
        <is>
          <t>☆</t>
        </is>
      </c>
      <c r="G37" s="7" t="n">
        <v>6</v>
      </c>
      <c r="H37" s="30">
        <f>IFERROR(INDEX('02 ОСНОВА'!$F$8:$F$17,MATCH($D37,'02 ОСНОВА'!$B$8:$B$17,0)),"")</f>
        <v/>
      </c>
      <c r="I37" s="30">
        <f>IF($G37="","",$G37+IFERROR($H37,0))</f>
        <v/>
      </c>
      <c r="J37" s="30">
        <f>IF($G37="",0,IF($E37="×2",$G37*2,$G37))</f>
        <v/>
      </c>
      <c r="K37" s="9" t="n"/>
      <c r="L37" s="21" t="inlineStr">
        <is>
          <t>ОБЯЗАТЕЛЬНЫЙ: минимум 2. Уход с линии атаки. С REF 8+ — уклонение и от дальнего боя.</t>
        </is>
      </c>
    </row>
    <row r="38" ht="18" customHeight="1">
      <c r="B38" s="33" t="inlineStr">
        <is>
          <t>Бой</t>
        </is>
      </c>
      <c r="C38" s="33" t="inlineStr">
        <is>
          <t>Martial Arts</t>
        </is>
      </c>
      <c r="D38" s="35" t="inlineStr">
        <is>
          <t>DEX</t>
        </is>
      </c>
      <c r="E38" s="35" t="inlineStr">
        <is>
          <t>×2</t>
        </is>
      </c>
      <c r="F38" s="36" t="inlineStr"/>
      <c r="G38" s="7" t="n">
        <v>5</v>
      </c>
      <c r="H38" s="30">
        <f>IFERROR(INDEX('02 ОСНОВА'!$F$8:$F$17,MATCH($D38,'02 ОСНОВА'!$B$8:$B$17,0)),"")</f>
        <v/>
      </c>
      <c r="I38" s="30">
        <f>IF($G38="","",$G38+IFERROR($H38,0))</f>
        <v/>
      </c>
      <c r="J38" s="30">
        <f>IF($G38="",0,IF($E38="×2",$G38*2,$G38))</f>
        <v/>
      </c>
      <c r="K38" s="9" t="inlineStr">
        <is>
          <t>Thamoc</t>
        </is>
      </c>
      <c r="L38" s="21" t="inlineStr">
        <is>
          <t>выбери вариант</t>
        </is>
      </c>
    </row>
    <row r="39" ht="18" customHeight="1">
      <c r="B39" s="33" t="inlineStr">
        <is>
          <t>Бой</t>
        </is>
      </c>
      <c r="C39" s="33" t="inlineStr">
        <is>
          <t>Melee Weapon</t>
        </is>
      </c>
      <c r="D39" s="35" t="inlineStr">
        <is>
          <t>DEX</t>
        </is>
      </c>
      <c r="E39" s="35" t="inlineStr"/>
      <c r="F39" s="36" t="inlineStr">
        <is>
          <t>☆</t>
        </is>
      </c>
      <c r="G39" s="7" t="n"/>
      <c r="H39" s="30">
        <f>IFERROR(INDEX('02 ОСНОВА'!$F$8:$F$17,MATCH($D39,'02 ОСНОВА'!$B$8:$B$17,0)),"")</f>
        <v/>
      </c>
      <c r="I39" s="30">
        <f>IF($G39="","",$G39+IFERROR($H39,0))</f>
        <v/>
      </c>
      <c r="J39" s="30">
        <f>IF($G39="",0,IF($E39="×2",$G39*2,$G39))</f>
        <v/>
      </c>
      <c r="K39" s="9" t="n"/>
      <c r="L39" s="21" t="inlineStr">
        <is>
          <t>Орудование оружием ближнего боя.</t>
        </is>
      </c>
    </row>
    <row r="40" ht="18" customHeight="1">
      <c r="B40" s="21" t="inlineStr">
        <is>
          <t>Выступление</t>
        </is>
      </c>
      <c r="C40" s="21" t="inlineStr">
        <is>
          <t>Acting</t>
        </is>
      </c>
      <c r="D40" s="31" t="inlineStr">
        <is>
          <t>COOL</t>
        </is>
      </c>
      <c r="E40" s="31" t="inlineStr"/>
      <c r="F40" s="38" t="inlineStr"/>
      <c r="G40" s="7" t="n"/>
      <c r="H40" s="30">
        <f>IFERROR(INDEX('02 ОСНОВА'!$F$8:$F$17,MATCH($D40,'02 ОСНОВА'!$B$8:$B$17,0)),"")</f>
        <v/>
      </c>
      <c r="I40" s="30">
        <f>IF($G40="","",$G40+IFERROR($H40,0))</f>
        <v/>
      </c>
      <c r="J40" s="30">
        <f>IF($G40="",0,IF($E40="×2",$G40*2,$G40))</f>
        <v/>
      </c>
      <c r="K40" s="9" t="n"/>
      <c r="L40" s="21" t="inlineStr">
        <is>
          <t>Отыгрыш роли, маскировка под другого, изображение эмоций.</t>
        </is>
      </c>
    </row>
    <row r="41" ht="18" customHeight="1">
      <c r="B41" s="21" t="inlineStr">
        <is>
          <t>Выступление</t>
        </is>
      </c>
      <c r="C41" s="21" t="inlineStr">
        <is>
          <t>Play Instrument</t>
        </is>
      </c>
      <c r="D41" s="31" t="inlineStr">
        <is>
          <t>TECH</t>
        </is>
      </c>
      <c r="E41" s="31" t="inlineStr"/>
      <c r="F41" s="38" t="inlineStr"/>
      <c r="G41" s="7" t="n"/>
      <c r="H41" s="30">
        <f>IFERROR(INDEX('02 ОСНОВА'!$F$8:$F$17,MATCH($D41,'02 ОСНОВА'!$B$8:$B$17,0)),"")</f>
        <v/>
      </c>
      <c r="I41" s="30">
        <f>IF($G41="","",$G41+IFERROR($H41,0))</f>
        <v/>
      </c>
      <c r="J41" s="30">
        <f>IF($G41="",0,IF($E41="×2",$G41*2,$G41))</f>
        <v/>
      </c>
      <c r="K41" s="9" t="n"/>
      <c r="L41" s="21" t="inlineStr">
        <is>
          <t>Профессиональная игра: пение, гитара, барабаны, скрипка, пианино…</t>
        </is>
      </c>
    </row>
    <row r="42" ht="18" customHeight="1">
      <c r="B42" s="33" t="inlineStr">
        <is>
          <t>Стрелковое</t>
        </is>
      </c>
      <c r="C42" s="33" t="inlineStr">
        <is>
          <t>Archery</t>
        </is>
      </c>
      <c r="D42" s="35" t="inlineStr">
        <is>
          <t>REF</t>
        </is>
      </c>
      <c r="E42" s="35" t="inlineStr"/>
      <c r="F42" s="36" t="inlineStr"/>
      <c r="G42" s="7" t="n"/>
      <c r="H42" s="30">
        <f>IFERROR(INDEX('02 ОСНОВА'!$F$8:$F$17,MATCH($D42,'02 ОСНОВА'!$B$8:$B$17,0)),"")</f>
        <v/>
      </c>
      <c r="I42" s="30">
        <f>IF($G42="","",$G42+IFERROR($H42,0))</f>
        <v/>
      </c>
      <c r="J42" s="30">
        <f>IF($G42="",0,IF($E42="×2",$G42*2,$G42))</f>
        <v/>
      </c>
      <c r="K42" s="9" t="n"/>
      <c r="L42" s="21" t="inlineStr">
        <is>
          <t>Стрельба из оружия на стрелах и болтах.</t>
        </is>
      </c>
    </row>
    <row r="43" ht="18" customHeight="1">
      <c r="B43" s="33" t="inlineStr">
        <is>
          <t>Стрелковое</t>
        </is>
      </c>
      <c r="C43" s="33" t="inlineStr">
        <is>
          <t>Autofire</t>
        </is>
      </c>
      <c r="D43" s="35" t="inlineStr">
        <is>
          <t>REF</t>
        </is>
      </c>
      <c r="E43" s="35" t="inlineStr">
        <is>
          <t>×2</t>
        </is>
      </c>
      <c r="F43" s="36" t="inlineStr">
        <is>
          <t>★</t>
        </is>
      </c>
      <c r="G43" s="7" t="n">
        <v>2</v>
      </c>
      <c r="H43" s="30">
        <f>IFERROR(INDEX('02 ОСНОВА'!$F$8:$F$17,MATCH($D43,'02 ОСНОВА'!$B$8:$B$17,0)),"")</f>
        <v/>
      </c>
      <c r="I43" s="30">
        <f>IF($G43="","",$G43+IFERROR($H43,0))</f>
        <v/>
      </c>
      <c r="J43" s="30">
        <f>IF($G43="",0,IF($E43="×2",$G43*2,$G43))</f>
        <v/>
      </c>
      <c r="K43" s="9" t="n"/>
      <c r="L43" s="21" t="inlineStr"/>
    </row>
    <row r="44" ht="18" customHeight="1">
      <c r="B44" s="33" t="inlineStr">
        <is>
          <t>Стрелковое</t>
        </is>
      </c>
      <c r="C44" s="33" t="inlineStr">
        <is>
          <t>Handgun</t>
        </is>
      </c>
      <c r="D44" s="35" t="inlineStr">
        <is>
          <t>REF</t>
        </is>
      </c>
      <c r="E44" s="35" t="inlineStr"/>
      <c r="F44" s="36" t="inlineStr">
        <is>
          <t>★</t>
        </is>
      </c>
      <c r="G44" s="7" t="n">
        <v>6</v>
      </c>
      <c r="H44" s="30">
        <f>IFERROR(INDEX('02 ОСНОВА'!$F$8:$F$17,MATCH($D44,'02 ОСНОВА'!$B$8:$B$17,0)),"")</f>
        <v/>
      </c>
      <c r="I44" s="30">
        <f>IF($G44="","",$G44+IFERROR($H44,0))</f>
        <v/>
      </c>
      <c r="J44" s="30">
        <f>IF($G44="",0,IF($E44="×2",$G44*2,$G44))</f>
        <v/>
      </c>
      <c r="K44" s="9" t="n"/>
      <c r="L44" s="21" t="inlineStr">
        <is>
          <t>Одноручное оружие пистолетного типа.</t>
        </is>
      </c>
    </row>
    <row r="45" ht="18" customHeight="1">
      <c r="B45" s="33" t="inlineStr">
        <is>
          <t>Стрелковое</t>
        </is>
      </c>
      <c r="C45" s="33" t="inlineStr">
        <is>
          <t>Heavy Weapons</t>
        </is>
      </c>
      <c r="D45" s="35" t="inlineStr">
        <is>
          <t>REF</t>
        </is>
      </c>
      <c r="E45" s="35" t="inlineStr">
        <is>
          <t>×2</t>
        </is>
      </c>
      <c r="F45" s="36" t="inlineStr"/>
      <c r="G45" s="7" t="n"/>
      <c r="H45" s="30">
        <f>IFERROR(INDEX('02 ОСНОВА'!$F$8:$F$17,MATCH($D45,'02 ОСНОВА'!$B$8:$B$17,0)),"")</f>
        <v/>
      </c>
      <c r="I45" s="30">
        <f>IF($G45="","",$G45+IFERROR($H45,0))</f>
        <v/>
      </c>
      <c r="J45" s="30">
        <f>IF($G45="",0,IF($E45="×2",$G45*2,$G45))</f>
        <v/>
      </c>
      <c r="K45" s="9" t="n"/>
      <c r="L45" s="21" t="inlineStr"/>
    </row>
    <row r="46" ht="18" customHeight="1">
      <c r="B46" s="33" t="inlineStr">
        <is>
          <t>Стрелковое</t>
        </is>
      </c>
      <c r="C46" s="33" t="inlineStr">
        <is>
          <t>Shoulder Arms</t>
        </is>
      </c>
      <c r="D46" s="35" t="inlineStr">
        <is>
          <t>REF</t>
        </is>
      </c>
      <c r="E46" s="35" t="inlineStr"/>
      <c r="F46" s="36" t="inlineStr">
        <is>
          <t>★</t>
        </is>
      </c>
      <c r="G46" s="7" t="n">
        <v>5</v>
      </c>
      <c r="H46" s="30">
        <f>IFERROR(INDEX('02 ОСНОВА'!$F$8:$F$17,MATCH($D46,'02 ОСНОВА'!$B$8:$B$17,0)),"")</f>
        <v/>
      </c>
      <c r="I46" s="30">
        <f>IF($G46="","",$G46+IFERROR($H46,0))</f>
        <v/>
      </c>
      <c r="J46" s="30">
        <f>IF($G46="",0,IF($E46="×2",$G46*2,$G46))</f>
        <v/>
      </c>
      <c r="K46" s="9" t="n"/>
      <c r="L46" s="21" t="inlineStr">
        <is>
          <t>Двуручное оружие с плечевым упором: винтовки, дробовики.</t>
        </is>
      </c>
    </row>
    <row r="47" ht="18" customHeight="1">
      <c r="B47" s="21" t="inlineStr">
        <is>
          <t>Социальные</t>
        </is>
      </c>
      <c r="C47" s="21" t="inlineStr">
        <is>
          <t>Bribery</t>
        </is>
      </c>
      <c r="D47" s="31" t="inlineStr">
        <is>
          <t>COOL</t>
        </is>
      </c>
      <c r="E47" s="31" t="inlineStr"/>
      <c r="F47" s="38" t="inlineStr"/>
      <c r="G47" s="7" t="n"/>
      <c r="H47" s="30">
        <f>IFERROR(INDEX('02 ОСНОВА'!$F$8:$F$17,MATCH($D47,'02 ОСНОВА'!$B$8:$B$17,0)),"")</f>
        <v/>
      </c>
      <c r="I47" s="30">
        <f>IF($G47="","",$G47+IFERROR($H47,0))</f>
        <v/>
      </c>
      <c r="J47" s="30">
        <f>IF($G47="",0,IF($E47="×2",$G47*2,$G47))</f>
        <v/>
      </c>
      <c r="K47" s="9" t="n"/>
      <c r="L47" s="21" t="inlineStr">
        <is>
          <t>Когда, как и сколько давать на лапу.</t>
        </is>
      </c>
    </row>
    <row r="48" ht="18" customHeight="1">
      <c r="B48" s="21" t="inlineStr">
        <is>
          <t>Социальные</t>
        </is>
      </c>
      <c r="C48" s="37" t="inlineStr">
        <is>
          <t>Conversation</t>
        </is>
      </c>
      <c r="D48" s="31" t="inlineStr">
        <is>
          <t>EMP</t>
        </is>
      </c>
      <c r="E48" s="31" t="inlineStr"/>
      <c r="F48" s="38" t="inlineStr">
        <is>
          <t>☆</t>
        </is>
      </c>
      <c r="G48" s="7" t="n">
        <v>2</v>
      </c>
      <c r="H48" s="30">
        <f>IFERROR(INDEX('02 ОСНОВА'!$F$8:$F$17,MATCH($D48,'02 ОСНОВА'!$B$8:$B$17,0)),"")</f>
        <v/>
      </c>
      <c r="I48" s="30">
        <f>IF($G48="","",$G48+IFERROR($H48,0))</f>
        <v/>
      </c>
      <c r="J48" s="30">
        <f>IF($G48="",0,IF($E48="×2",$G48*2,$G48))</f>
        <v/>
      </c>
      <c r="K48" s="9" t="n"/>
      <c r="L48" s="21" t="inlineStr">
        <is>
          <t>ОБЯЗАТЕЛЬНЫЙ: минимум 2. Выуживание информации из людей без их ведома.</t>
        </is>
      </c>
    </row>
    <row r="49" ht="18" customHeight="1">
      <c r="B49" s="21" t="inlineStr">
        <is>
          <t>Социальные</t>
        </is>
      </c>
      <c r="C49" s="37" t="inlineStr">
        <is>
          <t>Human Perception</t>
        </is>
      </c>
      <c r="D49" s="31" t="inlineStr">
        <is>
          <t>EMP</t>
        </is>
      </c>
      <c r="E49" s="31" t="inlineStr"/>
      <c r="F49" s="38" t="inlineStr">
        <is>
          <t>☆</t>
        </is>
      </c>
      <c r="G49" s="7" t="n">
        <v>2</v>
      </c>
      <c r="H49" s="30">
        <f>IFERROR(INDEX('02 ОСНОВА'!$F$8:$F$17,MATCH($D49,'02 ОСНОВА'!$B$8:$B$17,0)),"")</f>
        <v/>
      </c>
      <c r="I49" s="30">
        <f>IF($G49="","",$G49+IFERROR($H49,0))</f>
        <v/>
      </c>
      <c r="J49" s="30">
        <f>IF($G49="",0,IF($E49="×2",$G49*2,$G49))</f>
        <v/>
      </c>
      <c r="K49" s="9" t="n"/>
      <c r="L49" s="21" t="inlineStr">
        <is>
          <t>ОБЯЗАТЕЛЬНЫЙ: минимум 2. Чтение лиц и невербальных сигналов, выявление лжи.</t>
        </is>
      </c>
    </row>
    <row r="50" ht="18" customHeight="1">
      <c r="B50" s="21" t="inlineStr">
        <is>
          <t>Социальные</t>
        </is>
      </c>
      <c r="C50" s="21" t="inlineStr">
        <is>
          <t>Interrogation</t>
        </is>
      </c>
      <c r="D50" s="31" t="inlineStr">
        <is>
          <t>COOL</t>
        </is>
      </c>
      <c r="E50" s="31" t="inlineStr"/>
      <c r="F50" s="38" t="inlineStr">
        <is>
          <t>★</t>
        </is>
      </c>
      <c r="G50" s="7" t="n">
        <v>5</v>
      </c>
      <c r="H50" s="30">
        <f>IFERROR(INDEX('02 ОСНОВА'!$F$8:$F$17,MATCH($D50,'02 ОСНОВА'!$B$8:$B$17,0)),"")</f>
        <v/>
      </c>
      <c r="I50" s="30">
        <f>IF($G50="","",$G50+IFERROR($H50,0))</f>
        <v/>
      </c>
      <c r="J50" s="30">
        <f>IF($G50="",0,IF($E50="×2",$G50*2,$G50))</f>
        <v/>
      </c>
      <c r="K50" s="9" t="n"/>
      <c r="L50" s="21" t="inlineStr">
        <is>
          <t>Выбивание информации силой.</t>
        </is>
      </c>
    </row>
    <row r="51" ht="18" customHeight="1">
      <c r="B51" s="21" t="inlineStr">
        <is>
          <t>Социальные</t>
        </is>
      </c>
      <c r="C51" s="37" t="inlineStr">
        <is>
          <t>Persuasion</t>
        </is>
      </c>
      <c r="D51" s="31" t="inlineStr">
        <is>
          <t>COOL</t>
        </is>
      </c>
      <c r="E51" s="31" t="inlineStr"/>
      <c r="F51" s="38" t="inlineStr">
        <is>
          <t>☆</t>
        </is>
      </c>
      <c r="G51" s="7" t="n">
        <v>5</v>
      </c>
      <c r="H51" s="30">
        <f>IFERROR(INDEX('02 ОСНОВА'!$F$8:$F$17,MATCH($D51,'02 ОСНОВА'!$B$8:$B$17,0)),"")</f>
        <v/>
      </c>
      <c r="I51" s="30">
        <f>IF($G51="","",$G51+IFERROR($H51,0))</f>
        <v/>
      </c>
      <c r="J51" s="30">
        <f>IF($G51="",0,IF($E51="×2",$G51*2,$G51))</f>
        <v/>
      </c>
      <c r="K51" s="9" t="n"/>
      <c r="L51" s="21" t="inlineStr">
        <is>
          <t>ОБЯЗАТЕЛЬНЫЙ: минимум 2. Убеждение и влияние на людей.</t>
        </is>
      </c>
    </row>
    <row r="52" ht="18" customHeight="1">
      <c r="B52" s="21" t="inlineStr">
        <is>
          <t>Социальные</t>
        </is>
      </c>
      <c r="C52" s="21" t="inlineStr">
        <is>
          <t>Personal Grooming</t>
        </is>
      </c>
      <c r="D52" s="31" t="inlineStr">
        <is>
          <t>COOL</t>
        </is>
      </c>
      <c r="E52" s="31" t="inlineStr"/>
      <c r="F52" s="38" t="inlineStr"/>
      <c r="G52" s="7" t="n"/>
      <c r="H52" s="30">
        <f>IFERROR(INDEX('02 ОСНОВА'!$F$8:$F$17,MATCH($D52,'02 ОСНОВА'!$B$8:$B$17,0)),"")</f>
        <v/>
      </c>
      <c r="I52" s="30">
        <f>IF($G52="","",$G52+IFERROR($H52,0))</f>
        <v/>
      </c>
      <c r="J52" s="30">
        <f>IF($G52="",0,IF($E52="×2",$G52*2,$G52))</f>
        <v/>
      </c>
      <c r="K52" s="9" t="n"/>
      <c r="L52" s="21" t="inlineStr">
        <is>
          <t>Уход за собой для подчёркивания привлекательности.</t>
        </is>
      </c>
    </row>
    <row r="53" ht="18" customHeight="1">
      <c r="B53" s="21" t="inlineStr">
        <is>
          <t>Социальные</t>
        </is>
      </c>
      <c r="C53" s="21" t="inlineStr">
        <is>
          <t>Streetwise</t>
        </is>
      </c>
      <c r="D53" s="31" t="inlineStr">
        <is>
          <t>COOL</t>
        </is>
      </c>
      <c r="E53" s="31" t="inlineStr"/>
      <c r="F53" s="38" t="inlineStr"/>
      <c r="G53" s="7" t="n">
        <v>2</v>
      </c>
      <c r="H53" s="30">
        <f>IFERROR(INDEX('02 ОСНОВА'!$F$8:$F$17,MATCH($D53,'02 ОСНОВА'!$B$8:$B$17,0)),"")</f>
        <v/>
      </c>
      <c r="I53" s="30">
        <f>IF($G53="","",$G53+IFERROR($H53,0))</f>
        <v/>
      </c>
      <c r="J53" s="30">
        <f>IF($G53="",0,IF($E53="×2",$G53*2,$G53))</f>
        <v/>
      </c>
      <c r="K53" s="9" t="n"/>
      <c r="L53" s="21" t="inlineStr">
        <is>
          <t>Связи для нелегальных товаров, общение с криминалом, выживание в плохом районе.</t>
        </is>
      </c>
    </row>
    <row r="54" ht="18" customHeight="1">
      <c r="B54" s="21" t="inlineStr">
        <is>
          <t>Социальные</t>
        </is>
      </c>
      <c r="C54" s="21" t="inlineStr">
        <is>
          <t>Trading</t>
        </is>
      </c>
      <c r="D54" s="31" t="inlineStr">
        <is>
          <t>COOL</t>
        </is>
      </c>
      <c r="E54" s="31" t="inlineStr"/>
      <c r="F54" s="38" t="inlineStr"/>
      <c r="G54" s="7" t="n"/>
      <c r="H54" s="30">
        <f>IFERROR(INDEX('02 ОСНОВА'!$F$8:$F$17,MATCH($D54,'02 ОСНОВА'!$B$8:$B$17,0)),"")</f>
        <v/>
      </c>
      <c r="I54" s="30">
        <f>IF($G54="","",$G54+IFERROR($H54,0))</f>
        <v/>
      </c>
      <c r="J54" s="30">
        <f>IF($G54="",0,IF($E54="×2",$G54*2,$G54))</f>
        <v/>
      </c>
      <c r="K54" s="9" t="n"/>
      <c r="L54" s="21" t="inlineStr">
        <is>
          <t>Выгодные сделки с продавцами и покупателями.</t>
        </is>
      </c>
    </row>
    <row r="55" ht="18" customHeight="1">
      <c r="B55" s="21" t="inlineStr">
        <is>
          <t>Социальные</t>
        </is>
      </c>
      <c r="C55" s="21" t="inlineStr">
        <is>
          <t>Wardrobe &amp; Style</t>
        </is>
      </c>
      <c r="D55" s="31" t="inlineStr">
        <is>
          <t>COOL</t>
        </is>
      </c>
      <c r="E55" s="31" t="inlineStr"/>
      <c r="F55" s="38" t="inlineStr"/>
      <c r="G55" s="7" t="n"/>
      <c r="H55" s="30">
        <f>IFERROR(INDEX('02 ОСНОВА'!$F$8:$F$17,MATCH($D55,'02 ОСНОВА'!$B$8:$B$17,0)),"")</f>
        <v/>
      </c>
      <c r="I55" s="30">
        <f>IF($G55="","",$G55+IFERROR($H55,0))</f>
        <v/>
      </c>
      <c r="J55" s="30">
        <f>IF($G55="",0,IF($E55="×2",$G55*2,$G55))</f>
        <v/>
      </c>
      <c r="K55" s="9" t="n"/>
      <c r="L55" s="21" t="inlineStr">
        <is>
          <t>Выбор одежды и умение её носить.</t>
        </is>
      </c>
    </row>
    <row r="56" ht="18" customHeight="1">
      <c r="B56" s="33" t="inlineStr">
        <is>
          <t>Технические</t>
        </is>
      </c>
      <c r="C56" s="33" t="inlineStr">
        <is>
          <t>Air Vehicle Tech</t>
        </is>
      </c>
      <c r="D56" s="35" t="inlineStr">
        <is>
          <t>TECH</t>
        </is>
      </c>
      <c r="E56" s="35" t="inlineStr"/>
      <c r="F56" s="36" t="inlineStr"/>
      <c r="G56" s="7" t="n"/>
      <c r="H56" s="30">
        <f>IFERROR(INDEX('02 ОСНОВА'!$F$8:$F$17,MATCH($D56,'02 ОСНОВА'!$B$8:$B$17,0)),"")</f>
        <v/>
      </c>
      <c r="I56" s="30">
        <f>IF($G56="","",$G56+IFERROR($H56,0))</f>
        <v/>
      </c>
      <c r="J56" s="30">
        <f>IF($G56="",0,IF($E56="×2",$G56*2,$G56))</f>
        <v/>
      </c>
      <c r="K56" s="9" t="n"/>
      <c r="L56" s="21" t="inlineStr">
        <is>
          <t>Ремонт и обслуживание воздушного транспорта.</t>
        </is>
      </c>
    </row>
    <row r="57" ht="18" customHeight="1">
      <c r="B57" s="33" t="inlineStr">
        <is>
          <t>Технические</t>
        </is>
      </c>
      <c r="C57" s="33" t="inlineStr">
        <is>
          <t>Basic Tech</t>
        </is>
      </c>
      <c r="D57" s="35" t="inlineStr">
        <is>
          <t>TECH</t>
        </is>
      </c>
      <c r="E57" s="35" t="inlineStr"/>
      <c r="F57" s="36" t="inlineStr"/>
      <c r="G57" s="7" t="n"/>
      <c r="H57" s="30">
        <f>IFERROR(INDEX('02 ОСНОВА'!$F$8:$F$17,MATCH($D57,'02 ОСНОВА'!$B$8:$B$17,0)),"")</f>
        <v/>
      </c>
      <c r="I57" s="30">
        <f>IF($G57="","",$G57+IFERROR($H57,0))</f>
        <v/>
      </c>
      <c r="J57" s="30">
        <f>IF($G57="",0,IF($E57="×2",$G57*2,$G57))</f>
        <v/>
      </c>
      <c r="K57" s="9" t="n"/>
      <c r="L57" s="21" t="inlineStr">
        <is>
          <t>Ремонт простых электронных и механических устройств.</t>
        </is>
      </c>
    </row>
    <row r="58" ht="18" customHeight="1">
      <c r="B58" s="33" t="inlineStr">
        <is>
          <t>Технические</t>
        </is>
      </c>
      <c r="C58" s="33" t="inlineStr">
        <is>
          <t>Cybertech</t>
        </is>
      </c>
      <c r="D58" s="35" t="inlineStr">
        <is>
          <t>TECH</t>
        </is>
      </c>
      <c r="E58" s="35" t="inlineStr"/>
      <c r="F58" s="36" t="inlineStr"/>
      <c r="G58" s="7" t="n"/>
      <c r="H58" s="30">
        <f>IFERROR(INDEX('02 ОСНОВА'!$F$8:$F$17,MATCH($D58,'02 ОСНОВА'!$B$8:$B$17,0)),"")</f>
        <v/>
      </c>
      <c r="I58" s="30">
        <f>IF($G58="","",$G58+IFERROR($H58,0))</f>
        <v/>
      </c>
      <c r="J58" s="30">
        <f>IF($G58="",0,IF($E58="×2",$G58*2,$G58))</f>
        <v/>
      </c>
      <c r="K58" s="9" t="n"/>
      <c r="L58" s="21" t="inlineStr">
        <is>
          <t>Ремонт кибернетики и имплантов.</t>
        </is>
      </c>
    </row>
    <row r="59" ht="18" customHeight="1">
      <c r="B59" s="33" t="inlineStr">
        <is>
          <t>Технические</t>
        </is>
      </c>
      <c r="C59" s="33" t="inlineStr">
        <is>
          <t>Demolitions</t>
        </is>
      </c>
      <c r="D59" s="35" t="inlineStr">
        <is>
          <t>TECH</t>
        </is>
      </c>
      <c r="E59" s="35" t="inlineStr">
        <is>
          <t>×2</t>
        </is>
      </c>
      <c r="F59" s="36" t="inlineStr"/>
      <c r="G59" s="7" t="n"/>
      <c r="H59" s="30">
        <f>IFERROR(INDEX('02 ОСНОВА'!$F$8:$F$17,MATCH($D59,'02 ОСНОВА'!$B$8:$B$17,0)),"")</f>
        <v/>
      </c>
      <c r="I59" s="30">
        <f>IF($G59="","",$G59+IFERROR($H59,0))</f>
        <v/>
      </c>
      <c r="J59" s="30">
        <f>IF($G59="",0,IF($E59="×2",$G59*2,$G59))</f>
        <v/>
      </c>
      <c r="K59" s="9" t="n"/>
      <c r="L59" s="21" t="inlineStr"/>
    </row>
    <row r="60" ht="18" customHeight="1">
      <c r="B60" s="33" t="inlineStr">
        <is>
          <t>Технические</t>
        </is>
      </c>
      <c r="C60" s="33" t="inlineStr">
        <is>
          <t>Electronics/Security Tech</t>
        </is>
      </c>
      <c r="D60" s="35" t="inlineStr">
        <is>
          <t>TECH</t>
        </is>
      </c>
      <c r="E60" s="35" t="inlineStr">
        <is>
          <t>×2</t>
        </is>
      </c>
      <c r="F60" s="36" t="inlineStr"/>
      <c r="G60" s="7" t="n"/>
      <c r="H60" s="30">
        <f>IFERROR(INDEX('02 ОСНОВА'!$F$8:$F$17,MATCH($D60,'02 ОСНОВА'!$B$8:$B$17,0)),"")</f>
        <v/>
      </c>
      <c r="I60" s="30">
        <f>IF($G60="","",$G60+IFERROR($H60,0))</f>
        <v/>
      </c>
      <c r="J60" s="30">
        <f>IF($G60="",0,IF($E60="×2",$G60*2,$G60))</f>
        <v/>
      </c>
      <c r="K60" s="9" t="n"/>
      <c r="L60" s="21" t="inlineStr"/>
    </row>
    <row r="61" ht="18" customHeight="1">
      <c r="B61" s="33" t="inlineStr">
        <is>
          <t>Технические</t>
        </is>
      </c>
      <c r="C61" s="34" t="inlineStr">
        <is>
          <t>First Aid</t>
        </is>
      </c>
      <c r="D61" s="35" t="inlineStr">
        <is>
          <t>TECH</t>
        </is>
      </c>
      <c r="E61" s="35" t="inlineStr"/>
      <c r="F61" s="36" t="inlineStr">
        <is>
          <t>☆</t>
        </is>
      </c>
      <c r="G61" s="7" t="n">
        <v>2</v>
      </c>
      <c r="H61" s="30">
        <f>IFERROR(INDEX('02 ОСНОВА'!$F$8:$F$17,MATCH($D61,'02 ОСНОВА'!$B$8:$B$17,0)),"")</f>
        <v/>
      </c>
      <c r="I61" s="30">
        <f>IF($G61="","",$G61+IFERROR($H61,0))</f>
        <v/>
      </c>
      <c r="J61" s="30">
        <f>IF($G61="",0,IF($E61="×2",$G61*2,$G61))</f>
        <v/>
      </c>
      <c r="K61" s="9" t="n"/>
      <c r="L61" s="21" t="inlineStr">
        <is>
          <t>ОБЯЗАТЕЛЬНЫЙ: минимум 2. Первая помощь: купирование простых крит. травм, поддержание жизни.</t>
        </is>
      </c>
    </row>
    <row r="62" ht="18" customHeight="1">
      <c r="B62" s="33" t="inlineStr">
        <is>
          <t>Технические</t>
        </is>
      </c>
      <c r="C62" s="33" t="inlineStr">
        <is>
          <t>Forgery</t>
        </is>
      </c>
      <c r="D62" s="35" t="inlineStr">
        <is>
          <t>TECH</t>
        </is>
      </c>
      <c r="E62" s="35" t="inlineStr"/>
      <c r="F62" s="36" t="inlineStr"/>
      <c r="G62" s="7" t="n"/>
      <c r="H62" s="30">
        <f>IFERROR(INDEX('02 ОСНОВА'!$F$8:$F$17,MATCH($D62,'02 ОСНОВА'!$B$8:$B$17,0)),"")</f>
        <v/>
      </c>
      <c r="I62" s="30">
        <f>IF($G62="","",$G62+IFERROR($H62,0))</f>
        <v/>
      </c>
      <c r="J62" s="30">
        <f>IF($G62="",0,IF($E62="×2",$G62*2,$G62))</f>
        <v/>
      </c>
      <c r="K62" s="9" t="n"/>
      <c r="L62" s="21" t="inlineStr">
        <is>
          <t>Создание и выявление поддельных документов.</t>
        </is>
      </c>
    </row>
    <row r="63" ht="18" customHeight="1">
      <c r="B63" s="33" t="inlineStr">
        <is>
          <t>Технические</t>
        </is>
      </c>
      <c r="C63" s="33" t="inlineStr">
        <is>
          <t>Land Vehicle Tech</t>
        </is>
      </c>
      <c r="D63" s="35" t="inlineStr">
        <is>
          <t>TECH</t>
        </is>
      </c>
      <c r="E63" s="35" t="inlineStr"/>
      <c r="F63" s="36" t="inlineStr"/>
      <c r="G63" s="7" t="n"/>
      <c r="H63" s="30">
        <f>IFERROR(INDEX('02 ОСНОВА'!$F$8:$F$17,MATCH($D63,'02 ОСНОВА'!$B$8:$B$17,0)),"")</f>
        <v/>
      </c>
      <c r="I63" s="30">
        <f>IF($G63="","",$G63+IFERROR($H63,0))</f>
        <v/>
      </c>
      <c r="J63" s="30">
        <f>IF($G63="",0,IF($E63="×2",$G63*2,$G63))</f>
        <v/>
      </c>
      <c r="K63" s="9" t="n"/>
      <c r="L63" s="21" t="inlineStr">
        <is>
          <t>Ремонт и обслуживание наземного транспорта.</t>
        </is>
      </c>
    </row>
    <row r="64" ht="18" customHeight="1">
      <c r="B64" s="33" t="inlineStr">
        <is>
          <t>Технические</t>
        </is>
      </c>
      <c r="C64" s="33" t="inlineStr">
        <is>
          <t>Paint/Draw/Sculpt</t>
        </is>
      </c>
      <c r="D64" s="35" t="inlineStr">
        <is>
          <t>TECH</t>
        </is>
      </c>
      <c r="E64" s="35" t="inlineStr"/>
      <c r="F64" s="36" t="inlineStr"/>
      <c r="G64" s="7" t="n"/>
      <c r="H64" s="30">
        <f>IFERROR(INDEX('02 ОСНОВА'!$F$8:$F$17,MATCH($D64,'02 ОСНОВА'!$B$8:$B$17,0)),"")</f>
        <v/>
      </c>
      <c r="I64" s="30">
        <f>IF($G64="","",$G64+IFERROR($H64,0))</f>
        <v/>
      </c>
      <c r="J64" s="30">
        <f>IF($G64="",0,IF($E64="×2",$G64*2,$G64))</f>
        <v/>
      </c>
      <c r="K64" s="9" t="n"/>
      <c r="L64" s="21" t="inlineStr">
        <is>
          <t>Профессиональное рисование, живопись, скульптура.</t>
        </is>
      </c>
    </row>
    <row r="65" ht="18" customHeight="1">
      <c r="B65" s="33" t="inlineStr">
        <is>
          <t>Технические</t>
        </is>
      </c>
      <c r="C65" s="33" t="inlineStr">
        <is>
          <t>Paramedic</t>
        </is>
      </c>
      <c r="D65" s="35" t="inlineStr">
        <is>
          <t>TECH</t>
        </is>
      </c>
      <c r="E65" s="35" t="inlineStr">
        <is>
          <t>×2</t>
        </is>
      </c>
      <c r="F65" s="36" t="inlineStr"/>
      <c r="G65" s="7" t="n"/>
      <c r="H65" s="30">
        <f>IFERROR(INDEX('02 ОСНОВА'!$F$8:$F$17,MATCH($D65,'02 ОСНОВА'!$B$8:$B$17,0)),"")</f>
        <v/>
      </c>
      <c r="I65" s="30">
        <f>IF($G65="","",$G65+IFERROR($H65,0))</f>
        <v/>
      </c>
      <c r="J65" s="30">
        <f>IF($G65="",0,IF($E65="×2",$G65*2,$G65))</f>
        <v/>
      </c>
      <c r="K65" s="9" t="n"/>
      <c r="L65" s="21" t="inlineStr"/>
    </row>
    <row r="66" ht="18" customHeight="1">
      <c r="B66" s="33" t="inlineStr">
        <is>
          <t>Технические</t>
        </is>
      </c>
      <c r="C66" s="33" t="inlineStr">
        <is>
          <t>Photography/Film</t>
        </is>
      </c>
      <c r="D66" s="35" t="inlineStr">
        <is>
          <t>TECH</t>
        </is>
      </c>
      <c r="E66" s="35" t="inlineStr"/>
      <c r="F66" s="36" t="inlineStr"/>
      <c r="G66" s="7" t="n"/>
      <c r="H66" s="30">
        <f>IFERROR(INDEX('02 ОСНОВА'!$F$8:$F$17,MATCH($D66,'02 ОСНОВА'!$B$8:$B$17,0)),"")</f>
        <v/>
      </c>
      <c r="I66" s="30">
        <f>IF($G66="","",$G66+IFERROR($H66,0))</f>
        <v/>
      </c>
      <c r="J66" s="30">
        <f>IF($G66="",0,IF($E66="×2",$G66*2,$G66))</f>
        <v/>
      </c>
      <c r="K66" s="9" t="n"/>
      <c r="L66" s="21" t="inlineStr">
        <is>
          <t>Фото, видео и брейндансы.</t>
        </is>
      </c>
    </row>
    <row r="67" ht="18" customHeight="1">
      <c r="B67" s="33" t="inlineStr">
        <is>
          <t>Технические</t>
        </is>
      </c>
      <c r="C67" s="33" t="inlineStr">
        <is>
          <t>Pick Lock</t>
        </is>
      </c>
      <c r="D67" s="35" t="inlineStr">
        <is>
          <t>TECH</t>
        </is>
      </c>
      <c r="E67" s="35" t="inlineStr"/>
      <c r="F67" s="36" t="inlineStr"/>
      <c r="G67" s="7" t="n"/>
      <c r="H67" s="30">
        <f>IFERROR(INDEX('02 ОСНОВА'!$F$8:$F$17,MATCH($D67,'02 ОСНОВА'!$B$8:$B$17,0)),"")</f>
        <v/>
      </c>
      <c r="I67" s="30">
        <f>IF($G67="","",$G67+IFERROR($H67,0))</f>
        <v/>
      </c>
      <c r="J67" s="30">
        <f>IF($G67="",0,IF($E67="×2",$G67*2,$G67))</f>
        <v/>
      </c>
      <c r="K67" s="9" t="n"/>
      <c r="L67" s="21" t="inlineStr">
        <is>
          <t>Взлом неэлектронных замков.</t>
        </is>
      </c>
    </row>
    <row r="68" ht="18" customHeight="1">
      <c r="B68" s="33" t="inlineStr">
        <is>
          <t>Технические</t>
        </is>
      </c>
      <c r="C68" s="33" t="inlineStr">
        <is>
          <t>Pick Pocket</t>
        </is>
      </c>
      <c r="D68" s="35" t="inlineStr">
        <is>
          <t>TECH</t>
        </is>
      </c>
      <c r="E68" s="35" t="inlineStr"/>
      <c r="F68" s="36" t="inlineStr"/>
      <c r="G68" s="7" t="n"/>
      <c r="H68" s="30">
        <f>IFERROR(INDEX('02 ОСНОВА'!$F$8:$F$17,MATCH($D68,'02 ОСНОВА'!$B$8:$B$17,0)),"")</f>
        <v/>
      </c>
      <c r="I68" s="30">
        <f>IF($G68="","",$G68+IFERROR($H68,0))</f>
        <v/>
      </c>
      <c r="J68" s="30">
        <f>IF($G68="",0,IF($E68="×2",$G68*2,$G68))</f>
        <v/>
      </c>
      <c r="K68" s="9" t="n"/>
      <c r="L68" s="21" t="inlineStr">
        <is>
          <t>Скрытное извлечение предметов с людей, мелкие кражи.</t>
        </is>
      </c>
    </row>
    <row r="69" ht="18" customHeight="1">
      <c r="B69" s="33" t="inlineStr">
        <is>
          <t>Технические</t>
        </is>
      </c>
      <c r="C69" s="33" t="inlineStr">
        <is>
          <t>Sea Vehicle Tech</t>
        </is>
      </c>
      <c r="D69" s="35" t="inlineStr">
        <is>
          <t>TECH</t>
        </is>
      </c>
      <c r="E69" s="35" t="inlineStr"/>
      <c r="F69" s="36" t="inlineStr"/>
      <c r="G69" s="7" t="n"/>
      <c r="H69" s="30">
        <f>IFERROR(INDEX('02 ОСНОВА'!$F$8:$F$17,MATCH($D69,'02 ОСНОВА'!$B$8:$B$17,0)),"")</f>
        <v/>
      </c>
      <c r="I69" s="30">
        <f>IF($G69="","",$G69+IFERROR($H69,0))</f>
        <v/>
      </c>
      <c r="J69" s="30">
        <f>IF($G69="",0,IF($E69="×2",$G69*2,$G69))</f>
        <v/>
      </c>
      <c r="K69" s="9" t="n"/>
      <c r="L69" s="21" t="inlineStr">
        <is>
          <t>Ремонт и обслуживание водного транспорта.</t>
        </is>
      </c>
    </row>
    <row r="70" ht="18" customHeight="1">
      <c r="B70" s="33" t="inlineStr">
        <is>
          <t>Технические</t>
        </is>
      </c>
      <c r="C70" s="33" t="inlineStr">
        <is>
          <t>Weaponstech</t>
        </is>
      </c>
      <c r="D70" s="35" t="inlineStr">
        <is>
          <t>TECH</t>
        </is>
      </c>
      <c r="E70" s="35" t="inlineStr"/>
      <c r="F70" s="36" t="inlineStr"/>
      <c r="G70" s="7" t="n"/>
      <c r="H70" s="30">
        <f>IFERROR(INDEX('02 ОСНОВА'!$F$8:$F$17,MATCH($D70,'02 ОСНОВА'!$B$8:$B$17,0)),"")</f>
        <v/>
      </c>
      <c r="I70" s="30">
        <f>IF($G70="","",$G70+IFERROR($H70,0))</f>
        <v/>
      </c>
      <c r="J70" s="30">
        <f>IF($G70="",0,IF($E70="×2",$G70*2,$G70))</f>
        <v/>
      </c>
      <c r="K70" s="9" t="n"/>
      <c r="L70" s="21" t="inlineStr">
        <is>
          <t>Ремонт и обслуживание оружия всех видов.</t>
        </is>
      </c>
    </row>
    <row r="71">
      <c r="B71" s="39" t="inlineStr">
        <is>
          <t>СВОЙ</t>
        </is>
      </c>
      <c r="C71" s="9" t="n"/>
      <c r="D71" s="7" t="n"/>
      <c r="E71" s="7" t="n"/>
      <c r="F71" s="7" t="n"/>
      <c r="G71" s="7" t="n"/>
      <c r="H71" s="30">
        <f>IFERROR(INDEX('02 ОСНОВА'!$F$8:$F$17,MATCH($D71,'02 ОСНОВА'!$B$8:$B$17,0)),"")</f>
        <v/>
      </c>
      <c r="I71" s="30">
        <f>IF($G71="","",$G71+IFERROR($H71,0))</f>
        <v/>
      </c>
      <c r="J71" s="30">
        <f>IF($G71="",0,IF($E71="×2",$G71*2,$G71))</f>
        <v/>
      </c>
      <c r="K71" s="9" t="n"/>
      <c r="L71" s="6" t="inlineStr">
        <is>
          <t>свободная строка: домашние навыки, арт-скиллы, хобби</t>
        </is>
      </c>
    </row>
    <row r="72">
      <c r="B72" s="39" t="inlineStr">
        <is>
          <t>СВОЙ</t>
        </is>
      </c>
      <c r="C72" s="9" t="n"/>
      <c r="D72" s="7" t="n"/>
      <c r="E72" s="7" t="n"/>
      <c r="F72" s="7" t="n"/>
      <c r="G72" s="7" t="n"/>
      <c r="H72" s="30">
        <f>IFERROR(INDEX('02 ОСНОВА'!$F$8:$F$17,MATCH($D72,'02 ОСНОВА'!$B$8:$B$17,0)),"")</f>
        <v/>
      </c>
      <c r="I72" s="30">
        <f>IF($G72="","",$G72+IFERROR($H72,0))</f>
        <v/>
      </c>
      <c r="J72" s="30">
        <f>IF($G72="",0,IF($E72="×2",$G72*2,$G72))</f>
        <v/>
      </c>
      <c r="K72" s="9" t="n"/>
      <c r="L72" s="6" t="inlineStr">
        <is>
          <t>свободная строка: домашние навыки, арт-скиллы, хобби</t>
        </is>
      </c>
    </row>
    <row r="73">
      <c r="B73" s="39" t="inlineStr">
        <is>
          <t>СВОЙ</t>
        </is>
      </c>
      <c r="C73" s="9" t="n"/>
      <c r="D73" s="7" t="n"/>
      <c r="E73" s="7" t="n"/>
      <c r="F73" s="7" t="n"/>
      <c r="G73" s="7" t="n"/>
      <c r="H73" s="30">
        <f>IFERROR(INDEX('02 ОСНОВА'!$F$8:$F$17,MATCH($D73,'02 ОСНОВА'!$B$8:$B$17,0)),"")</f>
        <v/>
      </c>
      <c r="I73" s="30">
        <f>IF($G73="","",$G73+IFERROR($H73,0))</f>
        <v/>
      </c>
      <c r="J73" s="30">
        <f>IF($G73="",0,IF($E73="×2",$G73*2,$G73))</f>
        <v/>
      </c>
      <c r="K73" s="9" t="n"/>
      <c r="L73" s="6" t="inlineStr">
        <is>
          <t>свободная строка: домашние навыки, арт-скиллы, хобби</t>
        </is>
      </c>
    </row>
    <row r="74">
      <c r="B74" s="39" t="inlineStr">
        <is>
          <t>СВОЙ</t>
        </is>
      </c>
      <c r="C74" s="9" t="n"/>
      <c r="D74" s="7" t="n"/>
      <c r="E74" s="7" t="n"/>
      <c r="F74" s="7" t="n"/>
      <c r="G74" s="7" t="n"/>
      <c r="H74" s="30">
        <f>IFERROR(INDEX('02 ОСНОВА'!$F$8:$F$17,MATCH($D74,'02 ОСНОВА'!$B$8:$B$17,0)),"")</f>
        <v/>
      </c>
      <c r="I74" s="30">
        <f>IF($G74="","",$G74+IFERROR($H74,0))</f>
        <v/>
      </c>
      <c r="J74" s="30">
        <f>IF($G74="",0,IF($E74="×2",$G74*2,$G74))</f>
        <v/>
      </c>
      <c r="K74" s="9" t="n"/>
      <c r="L74" s="6" t="inlineStr">
        <is>
          <t>свободная строка: домашние навыки, арт-скиллы, хобби</t>
        </is>
      </c>
    </row>
    <row r="75">
      <c r="B75" s="39" t="inlineStr">
        <is>
          <t>СВОЙ</t>
        </is>
      </c>
      <c r="C75" s="9" t="n"/>
      <c r="D75" s="7" t="n"/>
      <c r="E75" s="7" t="n"/>
      <c r="F75" s="7" t="n"/>
      <c r="G75" s="7" t="n"/>
      <c r="H75" s="30">
        <f>IFERROR(INDEX('02 ОСНОВА'!$F$8:$F$17,MATCH($D75,'02 ОСНОВА'!$B$8:$B$17,0)),"")</f>
        <v/>
      </c>
      <c r="I75" s="30">
        <f>IF($G75="","",$G75+IFERROR($H75,0))</f>
        <v/>
      </c>
      <c r="J75" s="30">
        <f>IF($G75="",0,IF($E75="×2",$G75*2,$G75))</f>
        <v/>
      </c>
      <c r="K75" s="9" t="n"/>
      <c r="L75" s="6" t="inlineStr">
        <is>
          <t>свободная строка: домашние навыки, арт-скиллы, хобби</t>
        </is>
      </c>
    </row>
    <row r="76">
      <c r="B76" s="39" t="inlineStr">
        <is>
          <t>СВОЙ</t>
        </is>
      </c>
      <c r="C76" s="9" t="n"/>
      <c r="D76" s="7" t="n"/>
      <c r="E76" s="7" t="n"/>
      <c r="F76" s="7" t="n"/>
      <c r="G76" s="7" t="n"/>
      <c r="H76" s="30">
        <f>IFERROR(INDEX('02 ОСНОВА'!$F$8:$F$17,MATCH($D76,'02 ОСНОВА'!$B$8:$B$17,0)),"")</f>
        <v/>
      </c>
      <c r="I76" s="30">
        <f>IF($G76="","",$G76+IFERROR($H76,0))</f>
        <v/>
      </c>
      <c r="J76" s="30">
        <f>IF($G76="",0,IF($E76="×2",$G76*2,$G76))</f>
        <v/>
      </c>
      <c r="K76" s="9" t="n"/>
      <c r="L76" s="6" t="inlineStr">
        <is>
          <t>свободная строка: домашние навыки, арт-скиллы, хобби</t>
        </is>
      </c>
    </row>
    <row r="78">
      <c r="B78" s="17" t="inlineStr">
        <is>
          <t>Ⅰ · БАЗОВЫЕ ОБЯЗАТЕЛЬНЫЕ НАВЫКИ — 13 ШТУК, МИНИМУМ 2 КАЖДОМУ (ОБЩИЕ ДЛЯ ВСЕХ РОЛЕЙ)</t>
        </is>
      </c>
    </row>
    <row r="79">
      <c r="B79" s="20" t="inlineStr">
        <is>
          <t>ОБЯЗАТЕЛЬНЫЙ НАВЫК</t>
        </is>
      </c>
      <c r="D79" s="20" t="inlineStr">
        <is>
          <t>УР.</t>
        </is>
      </c>
      <c r="E79" s="20" t="inlineStr">
        <is>
          <t>СТАТУС</t>
        </is>
      </c>
      <c r="F79" s="20" t="inlineStr">
        <is>
          <t>ЧТО ДАЁТ / НАПОМИНАНИЕ</t>
        </is>
      </c>
    </row>
    <row r="80" ht="18" customHeight="1">
      <c r="B80" s="21" t="inlineStr">
        <is>
          <t>Athletics</t>
        </is>
      </c>
      <c r="C80" s="19" t="n"/>
      <c r="D80" s="30">
        <f>IFERROR(INDEX($G$5:$G$76,MATCH("Athletics",$C$5:$C$76,0)),0)</f>
        <v/>
      </c>
      <c r="E80" s="30">
        <f>IF($D80&gt;=2,"✔","✖ мало")</f>
        <v/>
      </c>
      <c r="F80" s="21" t="inlineStr">
        <is>
          <t>Прыжки, лазание, броски, плавание — Move Action вне боя и половина трюков.</t>
        </is>
      </c>
      <c r="G80" s="18" t="n"/>
      <c r="H80" s="18" t="n"/>
      <c r="I80" s="18" t="n"/>
      <c r="J80" s="18" t="n"/>
      <c r="K80" s="18" t="n"/>
      <c r="L80" s="19" t="n"/>
    </row>
    <row r="81" ht="18" customHeight="1">
      <c r="B81" s="21" t="inlineStr">
        <is>
          <t>Brawling</t>
        </is>
      </c>
      <c r="C81" s="19" t="n"/>
      <c r="D81" s="30">
        <f>IFERROR(INDEX($G$5:$G$76,MATCH("Brawling",$C$5:$C$76,0)),0)</f>
        <v/>
      </c>
      <c r="E81" s="30">
        <f>IF($D81&gt;=2,"✔","✖ мало")</f>
        <v/>
      </c>
      <c r="F81" s="21" t="inlineStr">
        <is>
          <t>Драка руками/ногами, Grab, Choke. Нужен, даже если ты «стрелок».</t>
        </is>
      </c>
      <c r="G81" s="18" t="n"/>
      <c r="H81" s="18" t="n"/>
      <c r="I81" s="18" t="n"/>
      <c r="J81" s="18" t="n"/>
      <c r="K81" s="18" t="n"/>
      <c r="L81" s="19" t="n"/>
    </row>
    <row r="82" ht="18" customHeight="1">
      <c r="B82" s="21" t="inlineStr">
        <is>
          <t>Concentration</t>
        </is>
      </c>
      <c r="C82" s="19" t="n"/>
      <c r="D82" s="30">
        <f>IFERROR(INDEX($G$5:$G$76,MATCH("Concentration",$C$5:$C$76,0)),0)</f>
        <v/>
      </c>
      <c r="E82" s="30">
        <f>IF($D82&gt;=2,"✔","✖ мало")</f>
        <v/>
      </c>
      <c r="F82" s="21" t="inlineStr">
        <is>
          <t>Фокус, память, сопротивление отвлечению и подавлению.</t>
        </is>
      </c>
      <c r="G82" s="18" t="n"/>
      <c r="H82" s="18" t="n"/>
      <c r="I82" s="18" t="n"/>
      <c r="J82" s="18" t="n"/>
      <c r="K82" s="18" t="n"/>
      <c r="L82" s="19" t="n"/>
    </row>
    <row r="83" ht="18" customHeight="1">
      <c r="B83" s="21" t="inlineStr">
        <is>
          <t>Conversation</t>
        </is>
      </c>
      <c r="C83" s="19" t="n"/>
      <c r="D83" s="30">
        <f>IFERROR(INDEX($G$5:$G$76,MATCH("Conversation",$C$5:$C$76,0)),0)</f>
        <v/>
      </c>
      <c r="E83" s="30">
        <f>IF($D83&gt;=2,"✔","✖ мало")</f>
        <v/>
      </c>
      <c r="F83" s="21" t="inlineStr">
        <is>
          <t>Вытягивать информацию из людей, не выдавая себя.</t>
        </is>
      </c>
      <c r="G83" s="18" t="n"/>
      <c r="H83" s="18" t="n"/>
      <c r="I83" s="18" t="n"/>
      <c r="J83" s="18" t="n"/>
      <c r="K83" s="18" t="n"/>
      <c r="L83" s="19" t="n"/>
    </row>
    <row r="84" ht="18" customHeight="1">
      <c r="B84" s="21" t="inlineStr">
        <is>
          <t>Education</t>
        </is>
      </c>
      <c r="C84" s="19" t="n"/>
      <c r="D84" s="30">
        <f>IFERROR(INDEX($G$5:$G$76,MATCH("Education",$C$5:$C$76,0)),0)</f>
        <v/>
      </c>
      <c r="E84" s="30">
        <f>IF($D84&gt;=2,"✔","✖ мало")</f>
        <v/>
      </c>
      <c r="F84" s="21" t="inlineStr">
        <is>
          <t>Эрудиция: чтение, письмо, история, базовые вычисления.</t>
        </is>
      </c>
      <c r="G84" s="18" t="n"/>
      <c r="H84" s="18" t="n"/>
      <c r="I84" s="18" t="n"/>
      <c r="J84" s="18" t="n"/>
      <c r="K84" s="18" t="n"/>
      <c r="L84" s="19" t="n"/>
    </row>
    <row r="85" ht="18" customHeight="1">
      <c r="B85" s="21" t="inlineStr">
        <is>
          <t>Evasion</t>
        </is>
      </c>
      <c r="C85" s="19" t="n"/>
      <c r="D85" s="30">
        <f>IFERROR(INDEX($G$5:$G$76,MATCH("Evasion",$C$5:$C$76,0)),0)</f>
        <v/>
      </c>
      <c r="E85" s="30">
        <f>IF($D85&gt;=2,"✔","✖ мало")</f>
        <v/>
      </c>
      <c r="F85" s="21" t="inlineStr">
        <is>
          <t>Уклонение. С REF 8+ — от дальних атак тоже.</t>
        </is>
      </c>
      <c r="G85" s="18" t="n"/>
      <c r="H85" s="18" t="n"/>
      <c r="I85" s="18" t="n"/>
      <c r="J85" s="18" t="n"/>
      <c r="K85" s="18" t="n"/>
      <c r="L85" s="19" t="n"/>
    </row>
    <row r="86" ht="18" customHeight="1">
      <c r="B86" s="21" t="inlineStr">
        <is>
          <t>First Aid</t>
        </is>
      </c>
      <c r="C86" s="19" t="n"/>
      <c r="D86" s="30">
        <f>IFERROR(INDEX($G$5:$G$76,MATCH("First Aid",$C$5:$C$76,0)),0)</f>
        <v/>
      </c>
      <c r="E86" s="30">
        <f>IF($D86&gt;=2,"✔","✖ мало")</f>
        <v/>
      </c>
      <c r="F86" s="21" t="inlineStr">
        <is>
          <t>Стабилизация ран, купирование простых крит-травм.</t>
        </is>
      </c>
      <c r="G86" s="18" t="n"/>
      <c r="H86" s="18" t="n"/>
      <c r="I86" s="18" t="n"/>
      <c r="J86" s="18" t="n"/>
      <c r="K86" s="18" t="n"/>
      <c r="L86" s="19" t="n"/>
    </row>
    <row r="87" ht="18" customHeight="1">
      <c r="B87" s="21" t="inlineStr">
        <is>
          <t>Human Perception</t>
        </is>
      </c>
      <c r="C87" s="19" t="n"/>
      <c r="D87" s="30">
        <f>IFERROR(INDEX($G$5:$G$76,MATCH("Human Perception",$C$5:$C$76,0)),0)</f>
        <v/>
      </c>
      <c r="E87" s="30">
        <f>IF($D87&gt;=2,"✔","✖ мало")</f>
        <v/>
      </c>
      <c r="F87" s="21" t="inlineStr">
        <is>
          <t>Читать лица, ловить ложь. Ключевой социальный навык: и в допросе, и на переговорах.</t>
        </is>
      </c>
      <c r="G87" s="18" t="n"/>
      <c r="H87" s="18" t="n"/>
      <c r="I87" s="18" t="n"/>
      <c r="J87" s="18" t="n"/>
      <c r="K87" s="18" t="n"/>
      <c r="L87" s="19" t="n"/>
    </row>
    <row r="88" ht="18" customHeight="1">
      <c r="B88" s="21" t="inlineStr">
        <is>
          <t>Language</t>
        </is>
      </c>
      <c r="C88" s="19" t="n"/>
      <c r="D88" s="30">
        <f>IFERROR(INDEX($G$5:$G$76,MATCH("Language",$C$5:$C$76,0)),0)</f>
        <v/>
      </c>
      <c r="E88" s="30">
        <f>IF($D88&gt;=2,"✔","✖ мало")</f>
        <v/>
      </c>
      <c r="F88" s="21" t="inlineStr">
        <is>
          <t>Streetslang — минимум 2. Родной язык обычно 4 (бесплатно от Lifepath).</t>
        </is>
      </c>
      <c r="G88" s="18" t="n"/>
      <c r="H88" s="18" t="n"/>
      <c r="I88" s="18" t="n"/>
      <c r="J88" s="18" t="n"/>
      <c r="K88" s="18" t="n"/>
      <c r="L88" s="19" t="n"/>
    </row>
    <row r="89" ht="18" customHeight="1">
      <c r="B89" s="21" t="inlineStr">
        <is>
          <t>Local Expert</t>
        </is>
      </c>
      <c r="C89" s="19" t="n"/>
      <c r="D89" s="30">
        <f>IFERROR(INDEX($G$5:$G$76,MATCH("Local Expert",$C$5:$C$76,0)),0)</f>
        <v/>
      </c>
      <c r="E89" s="30">
        <f>IF($D89&gt;=2,"✔","✖ мало")</f>
        <v/>
      </c>
      <c r="F89" s="21" t="inlineStr">
        <is>
          <t>Свой район: кто держит улицу, где можно спрятаться и пересидеть.</t>
        </is>
      </c>
      <c r="G89" s="18" t="n"/>
      <c r="H89" s="18" t="n"/>
      <c r="I89" s="18" t="n"/>
      <c r="J89" s="18" t="n"/>
      <c r="K89" s="18" t="n"/>
      <c r="L89" s="19" t="n"/>
    </row>
    <row r="90" ht="18" customHeight="1">
      <c r="B90" s="21" t="inlineStr">
        <is>
          <t>Perception</t>
        </is>
      </c>
      <c r="C90" s="19" t="n"/>
      <c r="D90" s="30">
        <f>IFERROR(INDEX($G$5:$G$76,MATCH("Perception",$C$5:$C$76,0)),0)</f>
        <v/>
      </c>
      <c r="E90" s="30">
        <f>IF($D90&gt;=2,"✔","✖ мало")</f>
        <v/>
      </c>
      <c r="F90" s="21" t="inlineStr">
        <is>
          <t>Замечать засады, скрытое, слежку. Твой главный рабочий навык.</t>
        </is>
      </c>
      <c r="G90" s="18" t="n"/>
      <c r="H90" s="18" t="n"/>
      <c r="I90" s="18" t="n"/>
      <c r="J90" s="18" t="n"/>
      <c r="K90" s="18" t="n"/>
      <c r="L90" s="19" t="n"/>
    </row>
    <row r="91" ht="18" customHeight="1">
      <c r="B91" s="21" t="inlineStr">
        <is>
          <t>Persuasion</t>
        </is>
      </c>
      <c r="C91" s="19" t="n"/>
      <c r="D91" s="30">
        <f>IFERROR(INDEX($G$5:$G$76,MATCH("Persuasion",$C$5:$C$76,0)),0)</f>
        <v/>
      </c>
      <c r="E91" s="30">
        <f>IF($D91&gt;=2,"✔","✖ мало")</f>
        <v/>
      </c>
      <c r="F91" s="21" t="inlineStr">
        <is>
          <t>Убеждать, договариваться, выкручиваться на переговорах.</t>
        </is>
      </c>
      <c r="G91" s="18" t="n"/>
      <c r="H91" s="18" t="n"/>
      <c r="I91" s="18" t="n"/>
      <c r="J91" s="18" t="n"/>
      <c r="K91" s="18" t="n"/>
      <c r="L91" s="19" t="n"/>
    </row>
    <row r="92" ht="18" customHeight="1">
      <c r="B92" s="21" t="inlineStr">
        <is>
          <t>Stealth</t>
        </is>
      </c>
      <c r="C92" s="19" t="n"/>
      <c r="D92" s="30">
        <f>IFERROR(INDEX($G$5:$G$76,MATCH("Stealth",$C$5:$C$76,0)),0)</f>
        <v/>
      </c>
      <c r="E92" s="30">
        <f>IF($D92&gt;=2,"✔","✖ мало")</f>
        <v/>
      </c>
      <c r="F92" s="21" t="inlineStr">
        <is>
          <t>Подход, засада, уход с места работы.</t>
        </is>
      </c>
      <c r="G92" s="18" t="n"/>
      <c r="H92" s="18" t="n"/>
      <c r="I92" s="18" t="n"/>
      <c r="J92" s="18" t="n"/>
      <c r="K92" s="18" t="n"/>
      <c r="L92" s="19" t="n"/>
    </row>
    <row r="93">
      <c r="B93" s="8" t="inlineStr">
        <is>
          <t>ВЫПОЛНЕНО</t>
        </is>
      </c>
      <c r="C93" s="19" t="n"/>
      <c r="D93" s="30">
        <f>COUNTIF($E$80:$E$92,"✔")</f>
        <v/>
      </c>
      <c r="E93" s="6" t="inlineStr">
        <is>
          <t>из 13</t>
        </is>
      </c>
      <c r="F93" s="22">
        <f>IF($D$93=13,"✔ все обязательные навыки закрыты","✖ не закрыто обязательных: "&amp;(13-$D$93))</f>
        <v/>
      </c>
      <c r="G93" s="18" t="n"/>
      <c r="H93" s="18" t="n"/>
      <c r="I93" s="18" t="n"/>
      <c r="J93" s="18" t="n"/>
      <c r="K93" s="18" t="n"/>
      <c r="L93" s="19" t="n"/>
    </row>
    <row r="94">
      <c r="B94" s="17" t="inlineStr">
        <is>
          <t>Ⅱ · ОБЯЗАТЕЛЬНЫЙ ПАКЕТ РОЛИ LAWMAN — МИНИМУМ 2 КАЖДОМУ (BACKUP ДЕРЖИТСЯ НА ЭТИХ НАВЫКАХ)</t>
        </is>
      </c>
    </row>
    <row r="95">
      <c r="B95" s="20" t="inlineStr">
        <is>
          <t>НАВЫК РОЛИ</t>
        </is>
      </c>
      <c r="D95" s="20" t="inlineStr">
        <is>
          <t>УР.</t>
        </is>
      </c>
      <c r="E95" s="20" t="inlineStr">
        <is>
          <t>СТАТУС</t>
        </is>
      </c>
      <c r="F95" s="20" t="inlineStr">
        <is>
          <t>ЗАЧЕМ КОПУ</t>
        </is>
      </c>
    </row>
    <row r="96" ht="18" customHeight="1">
      <c r="B96" s="21" t="inlineStr">
        <is>
          <t>Autofire</t>
        </is>
      </c>
      <c r="C96" s="19" t="n"/>
      <c r="D96" s="30">
        <f>IFERROR(INDEX($G$5:$G$76,MATCH("Autofire",$C$5:$C$76,0)),0)</f>
        <v/>
      </c>
      <c r="E96" s="30">
        <f>IF($D96&gt;=2,"✔","✖ мало")</f>
        <v/>
      </c>
      <c r="F96" s="21" t="inlineStr"/>
      <c r="G96" s="18" t="n"/>
      <c r="H96" s="18" t="n"/>
      <c r="I96" s="18" t="n"/>
      <c r="J96" s="18" t="n"/>
      <c r="K96" s="18" t="n"/>
      <c r="L96" s="19" t="n"/>
    </row>
    <row r="97" ht="18" customHeight="1">
      <c r="B97" s="21" t="inlineStr">
        <is>
          <t>Criminology</t>
        </is>
      </c>
      <c r="C97" s="19" t="n"/>
      <c r="D97" s="30">
        <f>IFERROR(INDEX($G$5:$G$76,MATCH("Criminology",$C$5:$C$76,0)),0)</f>
        <v/>
      </c>
      <c r="E97" s="30">
        <f>IF($D97&gt;=2,"✔","✖ мало")</f>
        <v/>
      </c>
      <c r="F97" s="21" t="inlineStr">
        <is>
          <t>Читать место преступления, вязать улики с известными бандами и «почерками».</t>
        </is>
      </c>
      <c r="G97" s="18" t="n"/>
      <c r="H97" s="18" t="n"/>
      <c r="I97" s="18" t="n"/>
      <c r="J97" s="18" t="n"/>
      <c r="K97" s="18" t="n"/>
      <c r="L97" s="19" t="n"/>
    </row>
    <row r="98" ht="18" customHeight="1">
      <c r="B98" s="21" t="inlineStr">
        <is>
          <t>Deduction</t>
        </is>
      </c>
      <c r="C98" s="19" t="n"/>
      <c r="D98" s="30">
        <f>IFERROR(INDEX($G$5:$G$76,MATCH("Deduction",$C$5:$C$76,0)),0)</f>
        <v/>
      </c>
      <c r="E98" s="30">
        <f>IF($D98&gt;=2,"✔","✖ мало")</f>
        <v/>
      </c>
      <c r="F98" s="21" t="inlineStr">
        <is>
          <t>Собирать выводы из мелочей: допросы, логи, камеры, опись изъятого.</t>
        </is>
      </c>
      <c r="G98" s="18" t="n"/>
      <c r="H98" s="18" t="n"/>
      <c r="I98" s="18" t="n"/>
      <c r="J98" s="18" t="n"/>
      <c r="K98" s="18" t="n"/>
      <c r="L98" s="19" t="n"/>
    </row>
    <row r="99" ht="18" customHeight="1">
      <c r="B99" s="21" t="inlineStr">
        <is>
          <t>Handgun</t>
        </is>
      </c>
      <c r="C99" s="19" t="n"/>
      <c r="D99" s="30">
        <f>IFERROR(INDEX($G$5:$G$76,MATCH("Handgun",$C$5:$C$76,0)),0)</f>
        <v/>
      </c>
      <c r="E99" s="30">
        <f>IF($D99&gt;=2,"✔","✖ мало")</f>
        <v/>
      </c>
      <c r="F99" s="21" t="inlineStr">
        <is>
          <t>Табельный пистолет — то, что всегда с собой, даже вне службы.</t>
        </is>
      </c>
      <c r="G99" s="18" t="n"/>
      <c r="H99" s="18" t="n"/>
      <c r="I99" s="18" t="n"/>
      <c r="J99" s="18" t="n"/>
      <c r="K99" s="18" t="n"/>
      <c r="L99" s="19" t="n"/>
    </row>
    <row r="100" ht="18" customHeight="1">
      <c r="B100" s="21" t="inlineStr">
        <is>
          <t>Interrogation</t>
        </is>
      </c>
      <c r="C100" s="19" t="n"/>
      <c r="D100" s="30">
        <f>IFERROR(INDEX($G$5:$G$76,MATCH("Interrogation",$C$5:$C$76,0)),0)</f>
        <v/>
      </c>
      <c r="E100" s="30">
        <f>IF($D100&gt;=2,"✔","✖ мало")</f>
        <v/>
      </c>
      <c r="F100" s="21" t="inlineStr">
        <is>
          <t>Разговорить задержанного: запугать, припереть к фактам, вытянуть имена.</t>
        </is>
      </c>
      <c r="G100" s="18" t="n"/>
      <c r="H100" s="18" t="n"/>
      <c r="I100" s="18" t="n"/>
      <c r="J100" s="18" t="n"/>
      <c r="K100" s="18" t="n"/>
      <c r="L100" s="19" t="n"/>
    </row>
    <row r="101" ht="18" customHeight="1">
      <c r="B101" s="21" t="inlineStr">
        <is>
          <t>Shoulder Arms</t>
        </is>
      </c>
      <c r="C101" s="19" t="n"/>
      <c r="D101" s="30">
        <f>IFERROR(INDEX($G$5:$G$76,MATCH("Shoulder Arms",$C$5:$C$76,0)),0)</f>
        <v/>
      </c>
      <c r="E101" s="30">
        <f>IF($D101&gt;=2,"✔","✖ мало")</f>
        <v/>
      </c>
      <c r="F101" s="21" t="inlineStr">
        <is>
          <t>Винтовки, дробовики, пулемёты — ствол, который коп берёт из оружейки.</t>
        </is>
      </c>
      <c r="G101" s="18" t="n"/>
      <c r="H101" s="18" t="n"/>
      <c r="I101" s="18" t="n"/>
      <c r="J101" s="18" t="n"/>
      <c r="K101" s="18" t="n"/>
      <c r="L101" s="19" t="n"/>
    </row>
    <row r="102" ht="18" customHeight="1">
      <c r="B102" s="21" t="inlineStr">
        <is>
          <t>Tracking</t>
        </is>
      </c>
      <c r="C102" s="19" t="n"/>
      <c r="D102" s="30">
        <f>IFERROR(INDEX($G$5:$G$76,MATCH("Tracking",$C$5:$C$76,0)),0)</f>
        <v/>
      </c>
      <c r="E102" s="30">
        <f>IF($D102&gt;=2,"✔","✖ мало")</f>
        <v/>
      </c>
      <c r="F102" s="21" t="inlineStr">
        <is>
          <t>Идти по следу: от камер и свидетелей до отпечатков ботинок в сточной воде.</t>
        </is>
      </c>
      <c r="G102" s="18" t="n"/>
      <c r="H102" s="18" t="n"/>
      <c r="I102" s="18" t="n"/>
      <c r="J102" s="18" t="n"/>
      <c r="K102" s="18" t="n"/>
      <c r="L102" s="19" t="n"/>
    </row>
    <row r="103">
      <c r="B103" s="8" t="inlineStr">
        <is>
          <t>ВЫПОЛНЕНО</t>
        </is>
      </c>
      <c r="C103" s="19" t="n"/>
      <c r="D103" s="30">
        <f>COUNTIF($E$96:$E$102,"✔")</f>
        <v/>
      </c>
      <c r="E103" s="6" t="inlineStr">
        <is>
          <t>из 7</t>
        </is>
      </c>
      <c r="F103" s="22">
        <f>IF($D$103=7,"✔ пакет законника закрыт","✖ не закрыто: "&amp;(7-$D$103))</f>
        <v/>
      </c>
      <c r="G103" s="18" t="n"/>
      <c r="H103" s="18" t="n"/>
      <c r="I103" s="18" t="n"/>
      <c r="J103" s="18" t="n"/>
      <c r="K103" s="18" t="n"/>
      <c r="L103" s="19" t="n"/>
    </row>
    <row r="104">
      <c r="B104" s="8" t="inlineStr">
        <is>
          <t>МАКСИМУМ 6 ПРИ СОЗДАНИИ</t>
        </is>
      </c>
      <c r="C104" s="19" t="n"/>
      <c r="D104" s="30">
        <f>MAX($G$5:$G$76)</f>
        <v/>
      </c>
      <c r="E104" s="22">
        <f>IF(MAX($G$5:$G$76)&gt;6,"✖ есть навык выше 6 — на старте нельзя","✔ выше 6 ничего нет. Повышать можно за IP (см. лист 06).")</f>
        <v/>
      </c>
      <c r="F104" s="18" t="n"/>
      <c r="G104" s="18" t="n"/>
      <c r="H104" s="18" t="n"/>
      <c r="I104" s="18" t="n"/>
      <c r="J104" s="18" t="n"/>
      <c r="K104" s="18" t="n"/>
      <c r="L104" s="19" t="n"/>
    </row>
    <row r="106" ht="30" customHeight="1">
      <c r="B106" s="6" t="inlineStr">
        <is>
          <t>ШТРАФ БРОНИ: REF/DEX/MOVE уже вычтены в колонке «СТАТА» — база навыка (УР. + СТАТА) считается как надо. Навыки с ×2 (Martial Arts, Autofire, Heavy Weapons, Demolitions, Electronics/Security Tech, Paramedic, Pilot Air Vehicle) стоят 2 очка за уровень и при подъёме за IP — дороже.</t>
        </is>
      </c>
    </row>
  </sheetData>
  <mergeCells count="57">
    <mergeCell ref="B91:C91"/>
    <mergeCell ref="B97:C97"/>
    <mergeCell ref="B106:L106"/>
    <mergeCell ref="B100:C100"/>
    <mergeCell ref="F93:L93"/>
    <mergeCell ref="B90:C90"/>
    <mergeCell ref="F96:L96"/>
    <mergeCell ref="F102:L102"/>
    <mergeCell ref="B81:C81"/>
    <mergeCell ref="B3:L3"/>
    <mergeCell ref="B93:C93"/>
    <mergeCell ref="F92:L92"/>
    <mergeCell ref="B96:C96"/>
    <mergeCell ref="B102:C102"/>
    <mergeCell ref="F82:L82"/>
    <mergeCell ref="F98:L98"/>
    <mergeCell ref="B86:C86"/>
    <mergeCell ref="F88:L88"/>
    <mergeCell ref="B98:C98"/>
    <mergeCell ref="B101:C101"/>
    <mergeCell ref="F87:L87"/>
    <mergeCell ref="F103:L103"/>
    <mergeCell ref="B88:C88"/>
    <mergeCell ref="B82:C82"/>
    <mergeCell ref="B1:L1"/>
    <mergeCell ref="B87:C87"/>
    <mergeCell ref="F99:L99"/>
    <mergeCell ref="J2:L2"/>
    <mergeCell ref="F84:L84"/>
    <mergeCell ref="F89:L89"/>
    <mergeCell ref="B78:L78"/>
    <mergeCell ref="B103:C103"/>
    <mergeCell ref="F83:L83"/>
    <mergeCell ref="B99:C99"/>
    <mergeCell ref="E104:L104"/>
    <mergeCell ref="B84:C84"/>
    <mergeCell ref="B2:E2"/>
    <mergeCell ref="F95:L95"/>
    <mergeCell ref="F86:L86"/>
    <mergeCell ref="F80:L80"/>
    <mergeCell ref="B83:C83"/>
    <mergeCell ref="B92:C92"/>
    <mergeCell ref="F85:L85"/>
    <mergeCell ref="F101:L101"/>
    <mergeCell ref="F79:L79"/>
    <mergeCell ref="F97:L97"/>
    <mergeCell ref="B80:C80"/>
    <mergeCell ref="B95:C95"/>
    <mergeCell ref="B104:C104"/>
    <mergeCell ref="B94:L94"/>
    <mergeCell ref="B89:C89"/>
    <mergeCell ref="B85:C85"/>
    <mergeCell ref="F91:L91"/>
    <mergeCell ref="F100:L100"/>
    <mergeCell ref="F81:L81"/>
    <mergeCell ref="B79:C79"/>
    <mergeCell ref="F90:L90"/>
  </mergeCells>
  <conditionalFormatting sqref="J2">
    <cfRule type="expression" priority="1" dxfId="2" stopIfTrue="0">
      <formula>LEFT($J$2,1)="✔"</formula>
    </cfRule>
    <cfRule type="expression" priority="2" dxfId="1" stopIfTrue="0">
      <formula>LEFT($J$2,1)="✖"</formula>
    </cfRule>
  </conditionalFormatting>
  <conditionalFormatting sqref="G5:G76">
    <cfRule type="expression" priority="3" dxfId="1" stopIfTrue="0">
      <formula>$G5&gt;6</formula>
    </cfRule>
  </conditionalFormatting>
  <conditionalFormatting sqref="E80:E92">
    <cfRule type="expression" priority="4" dxfId="1" stopIfTrue="0">
      <formula>$E80="✖ мало"</formula>
    </cfRule>
  </conditionalFormatting>
  <conditionalFormatting sqref="E96:E102">
    <cfRule type="expression" priority="5" dxfId="1" stopIfTrue="0">
      <formula>$E96="✖ мало"</formula>
    </cfRule>
  </conditionalFormatting>
  <dataValidations count="7">
    <dataValidation sqref="D71" showDropDown="0" showInputMessage="0" showErrorMessage="0" allowBlank="1" type="list">
      <formula1>"INT,WILL,COOL,EMP,TECH,REF,LUCK,BODY,DEX,MOVE"</formula1>
    </dataValidation>
    <dataValidation sqref="D72" showDropDown="0" showInputMessage="0" showErrorMessage="0" allowBlank="1" type="list">
      <formula1>"INT,WILL,COOL,EMP,TECH,REF,LUCK,BODY,DEX,MOVE"</formula1>
    </dataValidation>
    <dataValidation sqref="D73" showDropDown="0" showInputMessage="0" showErrorMessage="0" allowBlank="1" type="list">
      <formula1>"INT,WILL,COOL,EMP,TECH,REF,LUCK,BODY,DEX,MOVE"</formula1>
    </dataValidation>
    <dataValidation sqref="D74" showDropDown="0" showInputMessage="0" showErrorMessage="0" allowBlank="1" type="list">
      <formula1>"INT,WILL,COOL,EMP,TECH,REF,LUCK,BODY,DEX,MOVE"</formula1>
    </dataValidation>
    <dataValidation sqref="D75" showDropDown="0" showInputMessage="0" showErrorMessage="0" allowBlank="1" type="list">
      <formula1>"INT,WILL,COOL,EMP,TECH,REF,LUCK,BODY,DEX,MOVE"</formula1>
    </dataValidation>
    <dataValidation sqref="D76" showDropDown="0" showInputMessage="0" showErrorMessage="0" allowBlank="1" type="list">
      <formula1>"INT,WILL,COOL,EMP,TECH,REF,LUCK,BODY,DEX,MOVE"</formula1>
    </dataValidation>
    <dataValidation sqref="G5:G76" showDropDown="0" showInputMessage="0" showErrorMessage="0" allowBlank="1" type="whole" operator="between">
      <formula1>0</formula1>
      <formula2>10</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B3181F"/>
    <outlinePr summaryBelow="1" summaryRight="1"/>
    <pageSetUpPr fitToPage="1"/>
  </sheetPr>
  <dimension ref="B1:N57"/>
  <sheetViews>
    <sheetView showGridLines="0" workbookViewId="0">
      <pane ySplit="4" topLeftCell="A5" activePane="bottomLeft" state="frozen"/>
      <selection pane="bottomLeft" activeCell="A1" sqref="A1"/>
    </sheetView>
  </sheetViews>
  <sheetFormatPr baseColWidth="8" defaultRowHeight="15"/>
  <cols>
    <col width="2" customWidth="1" min="1" max="1"/>
    <col width="4" customWidth="1" min="2" max="2"/>
    <col width="34" customWidth="1" min="3" max="3"/>
    <col width="22" customWidth="1" min="4" max="4"/>
    <col width="18" customWidth="1" min="5" max="5"/>
    <col width="22" customWidth="1" min="6" max="6"/>
    <col width="11" customWidth="1" min="7" max="7"/>
    <col width="8" customWidth="1" min="8" max="8"/>
    <col width="8" customWidth="1" min="9" max="9"/>
    <col width="12" customWidth="1" min="10" max="10"/>
    <col width="12" customWidth="1" min="11" max="11"/>
    <col width="46" customWidth="1" min="12" max="12"/>
    <col width="14" customWidth="1" min="13" max="13"/>
    <col width="13" customWidth="1" min="14" max="14"/>
    <col width="2" customWidth="1" min="15" max="15"/>
  </cols>
  <sheetData>
    <row r="1" ht="20" customHeight="1">
      <c r="B1" s="1" t="inlineStr">
        <is>
          <t>КИБЕРНЕТИКА  ▚  ЮГАС / ХРОМ  ▚  2070: ВЕСЬ НЕМЕДИЦИНСКИЙ ХРОМ ТРЕБУЕТ NEUROPORT</t>
        </is>
      </c>
    </row>
    <row r="2">
      <c r="B2" s="8" t="inlineStr">
        <is>
          <t>HL СЧИТАЕТСЯ ПО СРЕДНЕМУ ЗНАЧЕНИЮ (7 (2D6) → 7) · СРЕЗ МАКСИМУМА: −2 ОБЫЧНЫЙ, −4 БОРГВАР</t>
        </is>
      </c>
      <c r="C2" s="18" t="n"/>
      <c r="D2" s="18" t="n"/>
      <c r="E2" s="18" t="n"/>
      <c r="F2" s="19" t="n"/>
      <c r="G2" s="8" t="inlineStr">
        <is>
          <t>HL:</t>
        </is>
      </c>
      <c r="H2" s="30">
        <f>$H$25</f>
        <v/>
      </c>
      <c r="I2" s="8" t="inlineStr">
        <is>
          <t>СРЕЗ:</t>
        </is>
      </c>
      <c r="J2" s="30">
        <f>$I$25</f>
        <v/>
      </c>
      <c r="K2" s="8" t="inlineStr">
        <is>
          <t>€$ В БЮДЖЕТ:</t>
        </is>
      </c>
      <c r="L2" s="40">
        <f>SUM($M$5:$M$24)+SUM($N$5:$N$24)</f>
        <v/>
      </c>
    </row>
    <row r="3">
      <c r="B3" s="6" t="inlineStr">
        <is>
          <t>Пиши название как в КАТАЛОГЕ — категория, цена, HL, срез и клиника подтянутся сами. Столбец «СЛОТ» — куда ставится: нейролинк, правый киберарм, опция 1 и т.п. В бюджет листа 05 попадают только отмеченные «Да» и только то, чего ещё нет в инвентаре: «В БЮДЖЕТ €$» — в стартовые 2550, «СТИЛЬ €$» — Fashionware в 800. Neuroport при создании: 0 €$ и 0 HL.</t>
        </is>
      </c>
    </row>
    <row r="4">
      <c r="B4" s="20" t="inlineStr">
        <is>
          <t>№</t>
        </is>
      </c>
      <c r="C4" s="20" t="inlineStr">
        <is>
          <t>НАЗВАНИЕ (КАК В КАТАЛОГЕ)</t>
        </is>
      </c>
      <c r="D4" s="20" t="inlineStr">
        <is>
          <t>КАТЕГОРИЯ</t>
        </is>
      </c>
      <c r="E4" s="20" t="inlineStr">
        <is>
          <t>ПОДТИП</t>
        </is>
      </c>
      <c r="F4" s="20" t="inlineStr">
        <is>
          <t>СЛОТ / КУДА</t>
        </is>
      </c>
      <c r="G4" s="20" t="inlineStr">
        <is>
          <t>ЦЕНА €$</t>
        </is>
      </c>
      <c r="H4" s="20" t="inlineStr">
        <is>
          <t>HL</t>
        </is>
      </c>
      <c r="I4" s="20" t="inlineStr">
        <is>
          <t>СРЕЗ</t>
        </is>
      </c>
      <c r="J4" s="20" t="inlineStr">
        <is>
          <t>УСТАНОВЛЕН</t>
        </is>
      </c>
      <c r="K4" s="20" t="inlineStr">
        <is>
          <t>КЛИНИКА</t>
        </is>
      </c>
      <c r="L4" s="20" t="inlineStr">
        <is>
          <t>ЭФФЕКТ / ЗАМЕТКА</t>
        </is>
      </c>
      <c r="M4" s="20" t="inlineStr">
        <is>
          <t>В БЮДЖЕТ €$</t>
        </is>
      </c>
      <c r="N4" s="20" t="inlineStr">
        <is>
          <t>СТИЛЬ €$</t>
        </is>
      </c>
    </row>
    <row r="5" ht="18" customHeight="1">
      <c r="B5" s="31" t="n">
        <v>1</v>
      </c>
      <c r="C5" s="9" t="inlineStr">
        <is>
          <t>Neuroport</t>
        </is>
      </c>
      <c r="D5" s="22">
        <f>IFERROR(INDEX('КАТАЛОГ'!$B$2:$B$1093,MATCH($C5,'КАТАЛОГ'!$A$2:$A$1093,0)),"")</f>
        <v/>
      </c>
      <c r="E5" s="22">
        <f>IFERROR(INDEX('КАТАЛОГ'!$C$2:$C$1093,MATCH($C5,'КАТАЛОГ'!$A$2:$A$1093,0)),"")</f>
        <v/>
      </c>
      <c r="F5" s="9" t="n"/>
      <c r="G5" s="40">
        <f>IF($C5="",0,IF(ISNUMBER(SEARCH("Neuroport",$C5)),0,IFERROR(INDEX('КАТАЛОГ'!$R$2:$R$1093,MATCH($C5,'КАТАЛОГ'!$A$2:$A$1093,0)),0)))</f>
        <v/>
      </c>
      <c r="H5" s="30">
        <f>IF($C5="",0,IF(ISNUMBER(SEARCH("Neuroport",$C5)),0,IFERROR(INDEX('КАТАЛОГ'!$M$2:$M$1093,MATCH($C5,'КАТАЛОГ'!$A$2:$A$1093,0)),0)))</f>
        <v/>
      </c>
      <c r="I5" s="30">
        <f>IF($C5="",0,IF(OR(N($H5)=0,ISNUMBER(SEARCH("Fashionware",$E5))),0,IF(ISNUMBER(SEARCH("Borgware",$E5)),4,2)))</f>
        <v/>
      </c>
      <c r="J5" s="7" t="inlineStr">
        <is>
          <t>Да</t>
        </is>
      </c>
      <c r="K5" s="22">
        <f>IFERROR(INDEX('КАТАЛОГ'!$N$2:$N$1093,MATCH($C5,'КАТАЛОГ'!$A$2:$A$1093,0)),"")</f>
        <v/>
      </c>
      <c r="L5" s="21" t="inlineStr">
        <is>
          <t>Нейролинк, бесплатно в 2070-х</t>
        </is>
      </c>
      <c r="M5" s="40">
        <f>IF($C5="",0,IF($J5&lt;&gt;"Да",0,IF(ISNUMBER(SEARCH("Fashionware",$E5)),0,IF(COUNTIF('05 СНАРЯЖЕНИЕ'!$C$34:$C$53,$C5)&gt;0,0,$G5))))</f>
        <v/>
      </c>
      <c r="N5" s="40">
        <f>IF($C5="",0,IF($J5&lt;&gt;"Да",0,IF(ISNUMBER(SEARCH("Fashionware",$E5)),$G5,0)))</f>
        <v/>
      </c>
    </row>
    <row r="6" ht="18" customHeight="1">
      <c r="B6" s="31" t="n">
        <v>2</v>
      </c>
      <c r="C6" s="9" t="inlineStr">
        <is>
          <t>Cyberaudio Suite</t>
        </is>
      </c>
      <c r="D6" s="22">
        <f>IFERROR(INDEX('КАТАЛОГ'!$B$2:$B$1093,MATCH($C6,'КАТАЛОГ'!$A$2:$A$1093,0)),"")</f>
        <v/>
      </c>
      <c r="E6" s="22">
        <f>IFERROR(INDEX('КАТАЛОГ'!$C$2:$C$1093,MATCH($C6,'КАТАЛОГ'!$A$2:$A$1093,0)),"")</f>
        <v/>
      </c>
      <c r="F6" s="9" t="n"/>
      <c r="G6" s="40">
        <f>IF($C6="",0,IF(ISNUMBER(SEARCH("Neuroport",$C6)),0,IFERROR(INDEX('КАТАЛОГ'!$R$2:$R$1093,MATCH($C6,'КАТАЛОГ'!$A$2:$A$1093,0)),0)))</f>
        <v/>
      </c>
      <c r="H6" s="30">
        <f>IF($C6="",0,IF(ISNUMBER(SEARCH("Neuroport",$C6)),0,IFERROR(INDEX('КАТАЛОГ'!$M$2:$M$1093,MATCH($C6,'КАТАЛОГ'!$A$2:$A$1093,0)),0)))</f>
        <v/>
      </c>
      <c r="I6" s="30">
        <f>IF($C6="",0,IF(OR(N($H6)=0,ISNUMBER(SEARCH("Fashionware",$E6))),0,IF(ISNUMBER(SEARCH("Borgware",$E6)),4,2)))</f>
        <v/>
      </c>
      <c r="J6" s="7" t="inlineStr">
        <is>
          <t>Да</t>
        </is>
      </c>
      <c r="K6" s="22">
        <f>IFERROR(INDEX('КАТАЛОГ'!$N$2:$N$1093,MATCH($C6,'КАТАЛОГ'!$A$2:$A$1093,0)),"")</f>
        <v/>
      </c>
      <c r="L6" s="21" t="inlineStr">
        <is>
          <t>хост для аудио-опций, 3 слота</t>
        </is>
      </c>
      <c r="M6" s="40">
        <f>IF($C6="",0,IF($J6&lt;&gt;"Да",0,IF(ISNUMBER(SEARCH("Fashionware",$E6)),0,IF(COUNTIF('05 СНАРЯЖЕНИЕ'!$C$34:$C$53,$C6)&gt;0,0,$G6))))</f>
        <v/>
      </c>
      <c r="N6" s="40">
        <f>IF($C6="",0,IF($J6&lt;&gt;"Да",0,IF(ISNUMBER(SEARCH("Fashionware",$E6)),$G6,0)))</f>
        <v/>
      </c>
    </row>
    <row r="7" ht="18" customHeight="1">
      <c r="B7" s="31" t="n">
        <v>3</v>
      </c>
      <c r="C7" s="9" t="inlineStr">
        <is>
          <t>Voice Stress Analyzer</t>
        </is>
      </c>
      <c r="D7" s="22">
        <f>IFERROR(INDEX('КАТАЛОГ'!$B$2:$B$1093,MATCH($C7,'КАТАЛОГ'!$A$2:$A$1093,0)),"")</f>
        <v/>
      </c>
      <c r="E7" s="22">
        <f>IFERROR(INDEX('КАТАЛОГ'!$C$2:$C$1093,MATCH($C7,'КАТАЛОГ'!$A$2:$A$1093,0)),"")</f>
        <v/>
      </c>
      <c r="F7" s="9" t="n"/>
      <c r="G7" s="40">
        <f>IF($C7="",0,IF(ISNUMBER(SEARCH("Neuroport",$C7)),0,IFERROR(INDEX('КАТАЛОГ'!$R$2:$R$1093,MATCH($C7,'КАТАЛОГ'!$A$2:$A$1093,0)),0)))</f>
        <v/>
      </c>
      <c r="H7" s="30">
        <f>IF($C7="",0,IF(ISNUMBER(SEARCH("Neuroport",$C7)),0,IFERROR(INDEX('КАТАЛОГ'!$M$2:$M$1093,MATCH($C7,'КАТАЛОГ'!$A$2:$A$1093,0)),0)))</f>
        <v/>
      </c>
      <c r="I7" s="30">
        <f>IF($C7="",0,IF(OR(N($H7)=0,ISNUMBER(SEARCH("Fashionware",$E7))),0,IF(ISNUMBER(SEARCH("Borgware",$E7)),4,2)))</f>
        <v/>
      </c>
      <c r="J7" s="7" t="inlineStr">
        <is>
          <t>Да</t>
        </is>
      </c>
      <c r="K7" s="22">
        <f>IFERROR(INDEX('КАТАЛОГ'!$N$2:$N$1093,MATCH($C7,'КАТАЛОГ'!$A$2:$A$1093,0)),"")</f>
        <v/>
      </c>
      <c r="L7" s="21" t="inlineStr">
        <is>
          <t>+2 Human Perception и Interrogation, детектор лжи</t>
        </is>
      </c>
      <c r="M7" s="40">
        <f>IF($C7="",0,IF($J7&lt;&gt;"Да",0,IF(ISNUMBER(SEARCH("Fashionware",$E7)),0,IF(COUNTIF('05 СНАРЯЖЕНИЕ'!$C$34:$C$53,$C7)&gt;0,0,$G7))))</f>
        <v/>
      </c>
      <c r="N7" s="40">
        <f>IF($C7="",0,IF($J7&lt;&gt;"Да",0,IF(ISNUMBER(SEARCH("Fashionware",$E7)),$G7,0)))</f>
        <v/>
      </c>
    </row>
    <row r="8" ht="18" customHeight="1">
      <c r="B8" s="31" t="n">
        <v>4</v>
      </c>
      <c r="C8" s="9" t="inlineStr">
        <is>
          <t>Amplified Hearing</t>
        </is>
      </c>
      <c r="D8" s="22">
        <f>IFERROR(INDEX('КАТАЛОГ'!$B$2:$B$1093,MATCH($C8,'КАТАЛОГ'!$A$2:$A$1093,0)),"")</f>
        <v/>
      </c>
      <c r="E8" s="22">
        <f>IFERROR(INDEX('КАТАЛОГ'!$C$2:$C$1093,MATCH($C8,'КАТАЛОГ'!$A$2:$A$1093,0)),"")</f>
        <v/>
      </c>
      <c r="F8" s="9" t="n"/>
      <c r="G8" s="40">
        <f>IF($C8="",0,IF(ISNUMBER(SEARCH("Neuroport",$C8)),0,IFERROR(INDEX('КАТАЛОГ'!$R$2:$R$1093,MATCH($C8,'КАТАЛОГ'!$A$2:$A$1093,0)),0)))</f>
        <v/>
      </c>
      <c r="H8" s="30">
        <f>IF($C8="",0,IF(ISNUMBER(SEARCH("Neuroport",$C8)),0,IFERROR(INDEX('КАТАЛОГ'!$M$2:$M$1093,MATCH($C8,'КАТАЛОГ'!$A$2:$A$1093,0)),0)))</f>
        <v/>
      </c>
      <c r="I8" s="30">
        <f>IF($C8="",0,IF(OR(N($H8)=0,ISNUMBER(SEARCH("Fashionware",$E8))),0,IF(ISNUMBER(SEARCH("Borgware",$E8)),4,2)))</f>
        <v/>
      </c>
      <c r="J8" s="7" t="inlineStr">
        <is>
          <t>Да</t>
        </is>
      </c>
      <c r="K8" s="22">
        <f>IFERROR(INDEX('КАТАЛОГ'!$N$2:$N$1093,MATCH($C8,'КАТАЛОГ'!$A$2:$A$1093,0)),"")</f>
        <v/>
      </c>
      <c r="L8" s="21" t="inlineStr">
        <is>
          <t>+2 Perception на слух</t>
        </is>
      </c>
      <c r="M8" s="40">
        <f>IF($C8="",0,IF($J8&lt;&gt;"Да",0,IF(ISNUMBER(SEARCH("Fashionware",$E8)),0,IF(COUNTIF('05 СНАРЯЖЕНИЕ'!$C$34:$C$53,$C8)&gt;0,0,$G8))))</f>
        <v/>
      </c>
      <c r="N8" s="40">
        <f>IF($C8="",0,IF($J8&lt;&gt;"Да",0,IF(ISNUMBER(SEARCH("Fashionware",$E8)),$G8,0)))</f>
        <v/>
      </c>
    </row>
    <row r="9" ht="18" customHeight="1">
      <c r="B9" s="31" t="n">
        <v>5</v>
      </c>
      <c r="C9" s="9" t="inlineStr">
        <is>
          <t>Toxin Binders</t>
        </is>
      </c>
      <c r="D9" s="22">
        <f>IFERROR(INDEX('КАТАЛОГ'!$B$2:$B$1093,MATCH($C9,'КАТАЛОГ'!$A$2:$A$1093,0)),"")</f>
        <v/>
      </c>
      <c r="E9" s="22">
        <f>IFERROR(INDEX('КАТАЛОГ'!$C$2:$C$1093,MATCH($C9,'КАТАЛОГ'!$A$2:$A$1093,0)),"")</f>
        <v/>
      </c>
      <c r="F9" s="9" t="n"/>
      <c r="G9" s="40">
        <f>IF($C9="",0,IF(ISNUMBER(SEARCH("Neuroport",$C9)),0,IFERROR(INDEX('КАТАЛОГ'!$R$2:$R$1093,MATCH($C9,'КАТАЛОГ'!$A$2:$A$1093,0)),0)))</f>
        <v/>
      </c>
      <c r="H9" s="30">
        <f>IF($C9="",0,IF(ISNUMBER(SEARCH("Neuroport",$C9)),0,IFERROR(INDEX('КАТАЛОГ'!$M$2:$M$1093,MATCH($C9,'КАТАЛОГ'!$A$2:$A$1093,0)),0)))</f>
        <v/>
      </c>
      <c r="I9" s="30">
        <f>IF($C9="",0,IF(OR(N($H9)=0,ISNUMBER(SEARCH("Fashionware",$E9))),0,IF(ISNUMBER(SEARCH("Borgware",$E9)),4,2)))</f>
        <v/>
      </c>
      <c r="J9" s="7" t="inlineStr">
        <is>
          <t>Да</t>
        </is>
      </c>
      <c r="K9" s="22">
        <f>IFERROR(INDEX('КАТАЛОГ'!$N$2:$N$1093,MATCH($C9,'КАТАЛОГ'!$A$2:$A$1093,0)),"")</f>
        <v/>
      </c>
      <c r="L9" s="21" t="inlineStr">
        <is>
          <t>+2 Resist Torture/Drugs</t>
        </is>
      </c>
      <c r="M9" s="40">
        <f>IF($C9="",0,IF($J9&lt;&gt;"Да",0,IF(ISNUMBER(SEARCH("Fashionware",$E9)),0,IF(COUNTIF('05 СНАРЯЖЕНИЕ'!$C$34:$C$53,$C9)&gt;0,0,$G9))))</f>
        <v/>
      </c>
      <c r="N9" s="40">
        <f>IF($C9="",0,IF($J9&lt;&gt;"Да",0,IF(ISNUMBER(SEARCH("Fashionware",$E9)),$G9,0)))</f>
        <v/>
      </c>
    </row>
    <row r="10" ht="18" customHeight="1">
      <c r="B10" s="31" t="n">
        <v>6</v>
      </c>
      <c r="C10" s="9" t="inlineStr">
        <is>
          <t>Biomonitor</t>
        </is>
      </c>
      <c r="D10" s="22">
        <f>IFERROR(INDEX('КАТАЛОГ'!$B$2:$B$1093,MATCH($C10,'КАТАЛОГ'!$A$2:$A$1093,0)),"")</f>
        <v/>
      </c>
      <c r="E10" s="22">
        <f>IFERROR(INDEX('КАТАЛОГ'!$C$2:$C$1093,MATCH($C10,'КАТАЛОГ'!$A$2:$A$1093,0)),"")</f>
        <v/>
      </c>
      <c r="F10" s="9" t="n"/>
      <c r="G10" s="40">
        <f>IF($C10="",0,IF(ISNUMBER(SEARCH("Neuroport",$C10)),0,IFERROR(INDEX('КАТАЛОГ'!$R$2:$R$1093,MATCH($C10,'КАТАЛОГ'!$A$2:$A$1093,0)),0)))</f>
        <v/>
      </c>
      <c r="H10" s="30">
        <f>IF($C10="",0,IF(ISNUMBER(SEARCH("Neuroport",$C10)),0,IFERROR(INDEX('КАТАЛОГ'!$M$2:$M$1093,MATCH($C10,'КАТАЛОГ'!$A$2:$A$1093,0)),0)))</f>
        <v/>
      </c>
      <c r="I10" s="30">
        <f>IF($C10="",0,IF(OR(N($H10)=0,ISNUMBER(SEARCH("Fashionware",$E10))),0,IF(ISNUMBER(SEARCH("Borgware",$E10)),4,2)))</f>
        <v/>
      </c>
      <c r="J10" s="7" t="inlineStr">
        <is>
          <t>Да</t>
        </is>
      </c>
      <c r="K10" s="22">
        <f>IFERROR(INDEX('КАТАЛОГ'!$N$2:$N$1093,MATCH($C10,'КАТАЛОГ'!$A$2:$A$1093,0)),"")</f>
        <v/>
      </c>
      <c r="L10" s="21" t="inlineStr">
        <is>
          <t>Fashionware · пульс/температура на Агент</t>
        </is>
      </c>
      <c r="M10" s="40">
        <f>IF($C10="",0,IF($J10&lt;&gt;"Да",0,IF(ISNUMBER(SEARCH("Fashionware",$E10)),0,IF(COUNTIF('05 СНАРЯЖЕНИЕ'!$C$34:$C$53,$C10)&gt;0,0,$G10))))</f>
        <v/>
      </c>
      <c r="N10" s="40">
        <f>IF($C10="",0,IF($J10&lt;&gt;"Да",0,IF(ISNUMBER(SEARCH("Fashionware",$E10)),$G10,0)))</f>
        <v/>
      </c>
    </row>
    <row r="11" ht="18" customHeight="1">
      <c r="B11" s="31" t="n">
        <v>7</v>
      </c>
      <c r="C11" s="9" t="inlineStr">
        <is>
          <t>Radio Communicator</t>
        </is>
      </c>
      <c r="D11" s="22">
        <f>IFERROR(INDEX('КАТАЛОГ'!$B$2:$B$1093,MATCH($C11,'КАТАЛОГ'!$A$2:$A$1093,0)),"")</f>
        <v/>
      </c>
      <c r="E11" s="22">
        <f>IFERROR(INDEX('КАТАЛОГ'!$C$2:$C$1093,MATCH($C11,'КАТАЛОГ'!$A$2:$A$1093,0)),"")</f>
        <v/>
      </c>
      <c r="F11" s="9" t="n"/>
      <c r="G11" s="40">
        <f>IF($C11="",0,IF(ISNUMBER(SEARCH("Neuroport",$C11)),0,IFERROR(INDEX('КАТАЛОГ'!$R$2:$R$1093,MATCH($C11,'КАТАЛОГ'!$A$2:$A$1093,0)),0)))</f>
        <v/>
      </c>
      <c r="H11" s="30">
        <f>IF($C11="",0,IF(ISNUMBER(SEARCH("Neuroport",$C11)),0,IFERROR(INDEX('КАТАЛОГ'!$M$2:$M$1093,MATCH($C11,'КАТАЛОГ'!$A$2:$A$1093,0)),0)))</f>
        <v/>
      </c>
      <c r="I11" s="30">
        <f>IF($C11="",0,IF(OR(N($H11)=0,ISNUMBER(SEARCH("Fashionware",$E11))),0,IF(ISNUMBER(SEARCH("Borgware",$E11)),4,2)))</f>
        <v/>
      </c>
      <c r="J11" s="7" t="inlineStr">
        <is>
          <t>Да</t>
        </is>
      </c>
      <c r="K11" s="22">
        <f>IFERROR(INDEX('КАТАЛОГ'!$N$2:$N$1093,MATCH($C11,'КАТАЛОГ'!$A$2:$A$1093,0)),"")</f>
        <v/>
      </c>
      <c r="L11" s="21" t="inlineStr">
        <is>
          <t>Cyberaudio Option (3-й слот Suite): связь на 1 милю</t>
        </is>
      </c>
      <c r="M11" s="40">
        <f>IF($C11="",0,IF($J11&lt;&gt;"Да",0,IF(ISNUMBER(SEARCH("Fashionware",$E11)),0,IF(COUNTIF('05 СНАРЯЖЕНИЕ'!$C$34:$C$53,$C11)&gt;0,0,$G11))))</f>
        <v/>
      </c>
      <c r="N11" s="40">
        <f>IF($C11="",0,IF($J11&lt;&gt;"Да",0,IF(ISNUMBER(SEARCH("Fashionware",$E11)),$G11,0)))</f>
        <v/>
      </c>
    </row>
    <row r="12" ht="18" customHeight="1">
      <c r="B12" s="31" t="n">
        <v>8</v>
      </c>
      <c r="C12" s="9" t="inlineStr">
        <is>
          <t>Light Tattoo</t>
        </is>
      </c>
      <c r="D12" s="22">
        <f>IFERROR(INDEX('КАТАЛОГ'!$B$2:$B$1093,MATCH($C12,'КАТАЛОГ'!$A$2:$A$1093,0)),"")</f>
        <v/>
      </c>
      <c r="E12" s="22">
        <f>IFERROR(INDEX('КАТАЛОГ'!$C$2:$C$1093,MATCH($C12,'КАТАЛОГ'!$A$2:$A$1093,0)),"")</f>
        <v/>
      </c>
      <c r="F12" s="9" t="n"/>
      <c r="G12" s="40">
        <f>IF($C12="",0,IF(ISNUMBER(SEARCH("Neuroport",$C12)),0,IFERROR(INDEX('КАТАЛОГ'!$R$2:$R$1093,MATCH($C12,'КАТАЛОГ'!$A$2:$A$1093,0)),0)))</f>
        <v/>
      </c>
      <c r="H12" s="30">
        <f>IF($C12="",0,IF(ISNUMBER(SEARCH("Neuroport",$C12)),0,IFERROR(INDEX('КАТАЛОГ'!$M$2:$M$1093,MATCH($C12,'КАТАЛОГ'!$A$2:$A$1093,0)),0)))</f>
        <v/>
      </c>
      <c r="I12" s="30">
        <f>IF($C12="",0,IF(OR(N($H12)=0,ISNUMBER(SEARCH("Fashionware",$E12))),0,IF(ISNUMBER(SEARCH("Borgware",$E12)),4,2)))</f>
        <v/>
      </c>
      <c r="J12" s="7" t="inlineStr">
        <is>
          <t>Да</t>
        </is>
      </c>
      <c r="K12" s="22">
        <f>IFERROR(INDEX('КАТАЛОГ'!$N$2:$N$1093,MATCH($C12,'КАТАЛОГ'!$A$2:$A$1093,0)),"")</f>
        <v/>
      </c>
      <c r="L12" s="21" t="inlineStr">
        <is>
          <t>Fashionware: выцветшая татуировка-значок NCPD (0 HL, стиль-бюджет)</t>
        </is>
      </c>
      <c r="M12" s="40">
        <f>IF($C12="",0,IF($J12&lt;&gt;"Да",0,IF(ISNUMBER(SEARCH("Fashionware",$E12)),0,IF(COUNTIF('05 СНАРЯЖЕНИЕ'!$C$34:$C$53,$C12)&gt;0,0,$G12))))</f>
        <v/>
      </c>
      <c r="N12" s="40">
        <f>IF($C12="",0,IF($J12&lt;&gt;"Да",0,IF(ISNUMBER(SEARCH("Fashionware",$E12)),$G12,0)))</f>
        <v/>
      </c>
    </row>
    <row r="13" ht="18" customHeight="1">
      <c r="B13" s="31" t="n">
        <v>9</v>
      </c>
      <c r="C13" s="9" t="inlineStr">
        <is>
          <t>EMP Threading</t>
        </is>
      </c>
      <c r="D13" s="22">
        <f>IFERROR(INDEX('КАТАЛОГ'!$B$2:$B$1093,MATCH($C13,'КАТАЛОГ'!$A$2:$A$1093,0)),"")</f>
        <v/>
      </c>
      <c r="E13" s="22">
        <f>IFERROR(INDEX('КАТАЛОГ'!$C$2:$C$1093,MATCH($C13,'КАТАЛОГ'!$A$2:$A$1093,0)),"")</f>
        <v/>
      </c>
      <c r="F13" s="9" t="n"/>
      <c r="G13" s="40">
        <f>IF($C13="",0,IF(ISNUMBER(SEARCH("Neuroport",$C13)),0,IFERROR(INDEX('КАТАЛОГ'!$R$2:$R$1093,MATCH($C13,'КАТАЛОГ'!$A$2:$A$1093,0)),0)))</f>
        <v/>
      </c>
      <c r="H13" s="30">
        <f>IF($C13="",0,IF(ISNUMBER(SEARCH("Neuroport",$C13)),0,IFERROR(INDEX('КАТАЛОГ'!$M$2:$M$1093,MATCH($C13,'КАТАЛОГ'!$A$2:$A$1093,0)),0)))</f>
        <v/>
      </c>
      <c r="I13" s="30">
        <f>IF($C13="",0,IF(OR(N($H13)=0,ISNUMBER(SEARCH("Fashionware",$E13))),0,IF(ISNUMBER(SEARCH("Borgware",$E13)),4,2)))</f>
        <v/>
      </c>
      <c r="J13" s="7" t="inlineStr">
        <is>
          <t>Да</t>
        </is>
      </c>
      <c r="K13" s="22">
        <f>IFERROR(INDEX('КАТАЛОГ'!$N$2:$N$1093,MATCH($C13,'КАТАЛОГ'!$A$2:$A$1093,0)),"")</f>
        <v/>
      </c>
      <c r="L13" s="21" t="inlineStr">
        <is>
          <t>Fashionware: светящиеся линии на предплечье (0 HL)</t>
        </is>
      </c>
      <c r="M13" s="40">
        <f>IF($C13="",0,IF($J13&lt;&gt;"Да",0,IF(ISNUMBER(SEARCH("Fashionware",$E13)),0,IF(COUNTIF('05 СНАРЯЖЕНИЕ'!$C$34:$C$53,$C13)&gt;0,0,$G13))))</f>
        <v/>
      </c>
      <c r="N13" s="40">
        <f>IF($C13="",0,IF($J13&lt;&gt;"Да",0,IF(ISNUMBER(SEARCH("Fashionware",$E13)),$G13,0)))</f>
        <v/>
      </c>
    </row>
    <row r="14" ht="18" customHeight="1">
      <c r="B14" s="31" t="n">
        <v>10</v>
      </c>
      <c r="C14" s="9" t="n"/>
      <c r="D14" s="22">
        <f>IFERROR(INDEX('КАТАЛОГ'!$B$2:$B$1093,MATCH($C14,'КАТАЛОГ'!$A$2:$A$1093,0)),"")</f>
        <v/>
      </c>
      <c r="E14" s="22">
        <f>IFERROR(INDEX('КАТАЛОГ'!$C$2:$C$1093,MATCH($C14,'КАТАЛОГ'!$A$2:$A$1093,0)),"")</f>
        <v/>
      </c>
      <c r="F14" s="9" t="n"/>
      <c r="G14" s="40">
        <f>IF($C14="",0,IF(ISNUMBER(SEARCH("Neuroport",$C14)),0,IFERROR(INDEX('КАТАЛОГ'!$R$2:$R$1093,MATCH($C14,'КАТАЛОГ'!$A$2:$A$1093,0)),0)))</f>
        <v/>
      </c>
      <c r="H14" s="30">
        <f>IF($C14="",0,IF(ISNUMBER(SEARCH("Neuroport",$C14)),0,IFERROR(INDEX('КАТАЛОГ'!$M$2:$M$1093,MATCH($C14,'КАТАЛОГ'!$A$2:$A$1093,0)),0)))</f>
        <v/>
      </c>
      <c r="I14" s="30">
        <f>IF($C14="",0,IF(OR(N($H14)=0,ISNUMBER(SEARCH("Fashionware",$E14))),0,IF(ISNUMBER(SEARCH("Borgware",$E14)),4,2)))</f>
        <v/>
      </c>
      <c r="J14" s="7" t="inlineStr">
        <is>
          <t>Нет</t>
        </is>
      </c>
      <c r="K14" s="22">
        <f>IFERROR(INDEX('КАТАЛОГ'!$N$2:$N$1093,MATCH($C14,'КАТАЛОГ'!$A$2:$A$1093,0)),"")</f>
        <v/>
      </c>
      <c r="L14" s="21">
        <f>IFERROR(LEFT(INDEX('КАТАЛОГ'!$T$2:$T$1093,MATCH($C14,'КАТАЛОГ'!$A$2:$A$1093,0)),70),"")</f>
        <v/>
      </c>
      <c r="M14" s="40">
        <f>IF($C14="",0,IF($J14&lt;&gt;"Да",0,IF(ISNUMBER(SEARCH("Fashionware",$E14)),0,IF(COUNTIF('05 СНАРЯЖЕНИЕ'!$C$34:$C$53,$C14)&gt;0,0,$G14))))</f>
        <v/>
      </c>
      <c r="N14" s="40">
        <f>IF($C14="",0,IF($J14&lt;&gt;"Да",0,IF(ISNUMBER(SEARCH("Fashionware",$E14)),$G14,0)))</f>
        <v/>
      </c>
    </row>
    <row r="15" ht="18" customHeight="1">
      <c r="B15" s="31" t="n">
        <v>11</v>
      </c>
      <c r="C15" s="9" t="n"/>
      <c r="D15" s="22">
        <f>IFERROR(INDEX('КАТАЛОГ'!$B$2:$B$1093,MATCH($C15,'КАТАЛОГ'!$A$2:$A$1093,0)),"")</f>
        <v/>
      </c>
      <c r="E15" s="22">
        <f>IFERROR(INDEX('КАТАЛОГ'!$C$2:$C$1093,MATCH($C15,'КАТАЛОГ'!$A$2:$A$1093,0)),"")</f>
        <v/>
      </c>
      <c r="F15" s="9" t="n"/>
      <c r="G15" s="40">
        <f>IF($C15="",0,IF(ISNUMBER(SEARCH("Neuroport",$C15)),0,IFERROR(INDEX('КАТАЛОГ'!$R$2:$R$1093,MATCH($C15,'КАТАЛОГ'!$A$2:$A$1093,0)),0)))</f>
        <v/>
      </c>
      <c r="H15" s="30">
        <f>IF($C15="",0,IF(ISNUMBER(SEARCH("Neuroport",$C15)),0,IFERROR(INDEX('КАТАЛОГ'!$M$2:$M$1093,MATCH($C15,'КАТАЛОГ'!$A$2:$A$1093,0)),0)))</f>
        <v/>
      </c>
      <c r="I15" s="30">
        <f>IF($C15="",0,IF(OR(N($H15)=0,ISNUMBER(SEARCH("Fashionware",$E15))),0,IF(ISNUMBER(SEARCH("Borgware",$E15)),4,2)))</f>
        <v/>
      </c>
      <c r="J15" s="7" t="inlineStr">
        <is>
          <t>Нет</t>
        </is>
      </c>
      <c r="K15" s="22">
        <f>IFERROR(INDEX('КАТАЛОГ'!$N$2:$N$1093,MATCH($C15,'КАТАЛОГ'!$A$2:$A$1093,0)),"")</f>
        <v/>
      </c>
      <c r="L15" s="21">
        <f>IFERROR(LEFT(INDEX('КАТАЛОГ'!$T$2:$T$1093,MATCH($C15,'КАТАЛОГ'!$A$2:$A$1093,0)),70),"")</f>
        <v/>
      </c>
      <c r="M15" s="40">
        <f>IF($C15="",0,IF($J15&lt;&gt;"Да",0,IF(ISNUMBER(SEARCH("Fashionware",$E15)),0,IF(COUNTIF('05 СНАРЯЖЕНИЕ'!$C$34:$C$53,$C15)&gt;0,0,$G15))))</f>
        <v/>
      </c>
      <c r="N15" s="40">
        <f>IF($C15="",0,IF($J15&lt;&gt;"Да",0,IF(ISNUMBER(SEARCH("Fashionware",$E15)),$G15,0)))</f>
        <v/>
      </c>
    </row>
    <row r="16" ht="18" customHeight="1">
      <c r="B16" s="31" t="n">
        <v>12</v>
      </c>
      <c r="C16" s="9" t="n"/>
      <c r="D16" s="22">
        <f>IFERROR(INDEX('КАТАЛОГ'!$B$2:$B$1093,MATCH($C16,'КАТАЛОГ'!$A$2:$A$1093,0)),"")</f>
        <v/>
      </c>
      <c r="E16" s="22">
        <f>IFERROR(INDEX('КАТАЛОГ'!$C$2:$C$1093,MATCH($C16,'КАТАЛОГ'!$A$2:$A$1093,0)),"")</f>
        <v/>
      </c>
      <c r="F16" s="9" t="n"/>
      <c r="G16" s="40">
        <f>IF($C16="",0,IF(ISNUMBER(SEARCH("Neuroport",$C16)),0,IFERROR(INDEX('КАТАЛОГ'!$R$2:$R$1093,MATCH($C16,'КАТАЛОГ'!$A$2:$A$1093,0)),0)))</f>
        <v/>
      </c>
      <c r="H16" s="30">
        <f>IF($C16="",0,IF(ISNUMBER(SEARCH("Neuroport",$C16)),0,IFERROR(INDEX('КАТАЛОГ'!$M$2:$M$1093,MATCH($C16,'КАТАЛОГ'!$A$2:$A$1093,0)),0)))</f>
        <v/>
      </c>
      <c r="I16" s="30">
        <f>IF($C16="",0,IF(OR(N($H16)=0,ISNUMBER(SEARCH("Fashionware",$E16))),0,IF(ISNUMBER(SEARCH("Borgware",$E16)),4,2)))</f>
        <v/>
      </c>
      <c r="J16" s="7" t="inlineStr">
        <is>
          <t>Нет</t>
        </is>
      </c>
      <c r="K16" s="22">
        <f>IFERROR(INDEX('КАТАЛОГ'!$N$2:$N$1093,MATCH($C16,'КАТАЛОГ'!$A$2:$A$1093,0)),"")</f>
        <v/>
      </c>
      <c r="L16" s="21">
        <f>IFERROR(LEFT(INDEX('КАТАЛОГ'!$T$2:$T$1093,MATCH($C16,'КАТАЛОГ'!$A$2:$A$1093,0)),70),"")</f>
        <v/>
      </c>
      <c r="M16" s="40">
        <f>IF($C16="",0,IF($J16&lt;&gt;"Да",0,IF(ISNUMBER(SEARCH("Fashionware",$E16)),0,IF(COUNTIF('05 СНАРЯЖЕНИЕ'!$C$34:$C$53,$C16)&gt;0,0,$G16))))</f>
        <v/>
      </c>
      <c r="N16" s="40">
        <f>IF($C16="",0,IF($J16&lt;&gt;"Да",0,IF(ISNUMBER(SEARCH("Fashionware",$E16)),$G16,0)))</f>
        <v/>
      </c>
    </row>
    <row r="17" ht="18" customHeight="1">
      <c r="B17" s="31" t="n">
        <v>13</v>
      </c>
      <c r="C17" s="9" t="n"/>
      <c r="D17" s="22">
        <f>IFERROR(INDEX('КАТАЛОГ'!$B$2:$B$1093,MATCH($C17,'КАТАЛОГ'!$A$2:$A$1093,0)),"")</f>
        <v/>
      </c>
      <c r="E17" s="22">
        <f>IFERROR(INDEX('КАТАЛОГ'!$C$2:$C$1093,MATCH($C17,'КАТАЛОГ'!$A$2:$A$1093,0)),"")</f>
        <v/>
      </c>
      <c r="F17" s="9" t="n"/>
      <c r="G17" s="40">
        <f>IF($C17="",0,IF(ISNUMBER(SEARCH("Neuroport",$C17)),0,IFERROR(INDEX('КАТАЛОГ'!$R$2:$R$1093,MATCH($C17,'КАТАЛОГ'!$A$2:$A$1093,0)),0)))</f>
        <v/>
      </c>
      <c r="H17" s="30">
        <f>IF($C17="",0,IF(ISNUMBER(SEARCH("Neuroport",$C17)),0,IFERROR(INDEX('КАТАЛОГ'!$M$2:$M$1093,MATCH($C17,'КАТАЛОГ'!$A$2:$A$1093,0)),0)))</f>
        <v/>
      </c>
      <c r="I17" s="30">
        <f>IF($C17="",0,IF(OR(N($H17)=0,ISNUMBER(SEARCH("Fashionware",$E17))),0,IF(ISNUMBER(SEARCH("Borgware",$E17)),4,2)))</f>
        <v/>
      </c>
      <c r="J17" s="7" t="inlineStr">
        <is>
          <t>Нет</t>
        </is>
      </c>
      <c r="K17" s="22">
        <f>IFERROR(INDEX('КАТАЛОГ'!$N$2:$N$1093,MATCH($C17,'КАТАЛОГ'!$A$2:$A$1093,0)),"")</f>
        <v/>
      </c>
      <c r="L17" s="21">
        <f>IFERROR(LEFT(INDEX('КАТАЛОГ'!$T$2:$T$1093,MATCH($C17,'КАТАЛОГ'!$A$2:$A$1093,0)),70),"")</f>
        <v/>
      </c>
      <c r="M17" s="40">
        <f>IF($C17="",0,IF($J17&lt;&gt;"Да",0,IF(ISNUMBER(SEARCH("Fashionware",$E17)),0,IF(COUNTIF('05 СНАРЯЖЕНИЕ'!$C$34:$C$53,$C17)&gt;0,0,$G17))))</f>
        <v/>
      </c>
      <c r="N17" s="40">
        <f>IF($C17="",0,IF($J17&lt;&gt;"Да",0,IF(ISNUMBER(SEARCH("Fashionware",$E17)),$G17,0)))</f>
        <v/>
      </c>
    </row>
    <row r="18" ht="18" customHeight="1">
      <c r="B18" s="31" t="n">
        <v>14</v>
      </c>
      <c r="C18" s="9" t="n"/>
      <c r="D18" s="22">
        <f>IFERROR(INDEX('КАТАЛОГ'!$B$2:$B$1093,MATCH($C18,'КАТАЛОГ'!$A$2:$A$1093,0)),"")</f>
        <v/>
      </c>
      <c r="E18" s="22">
        <f>IFERROR(INDEX('КАТАЛОГ'!$C$2:$C$1093,MATCH($C18,'КАТАЛОГ'!$A$2:$A$1093,0)),"")</f>
        <v/>
      </c>
      <c r="F18" s="9" t="n"/>
      <c r="G18" s="40">
        <f>IF($C18="",0,IF(ISNUMBER(SEARCH("Neuroport",$C18)),0,IFERROR(INDEX('КАТАЛОГ'!$R$2:$R$1093,MATCH($C18,'КАТАЛОГ'!$A$2:$A$1093,0)),0)))</f>
        <v/>
      </c>
      <c r="H18" s="30">
        <f>IF($C18="",0,IF(ISNUMBER(SEARCH("Neuroport",$C18)),0,IFERROR(INDEX('КАТАЛОГ'!$M$2:$M$1093,MATCH($C18,'КАТАЛОГ'!$A$2:$A$1093,0)),0)))</f>
        <v/>
      </c>
      <c r="I18" s="30">
        <f>IF($C18="",0,IF(OR(N($H18)=0,ISNUMBER(SEARCH("Fashionware",$E18))),0,IF(ISNUMBER(SEARCH("Borgware",$E18)),4,2)))</f>
        <v/>
      </c>
      <c r="J18" s="7" t="inlineStr">
        <is>
          <t>Нет</t>
        </is>
      </c>
      <c r="K18" s="22">
        <f>IFERROR(INDEX('КАТАЛОГ'!$N$2:$N$1093,MATCH($C18,'КАТАЛОГ'!$A$2:$A$1093,0)),"")</f>
        <v/>
      </c>
      <c r="L18" s="21">
        <f>IFERROR(LEFT(INDEX('КАТАЛОГ'!$T$2:$T$1093,MATCH($C18,'КАТАЛОГ'!$A$2:$A$1093,0)),70),"")</f>
        <v/>
      </c>
      <c r="M18" s="40">
        <f>IF($C18="",0,IF($J18&lt;&gt;"Да",0,IF(ISNUMBER(SEARCH("Fashionware",$E18)),0,IF(COUNTIF('05 СНАРЯЖЕНИЕ'!$C$34:$C$53,$C18)&gt;0,0,$G18))))</f>
        <v/>
      </c>
      <c r="N18" s="40">
        <f>IF($C18="",0,IF($J18&lt;&gt;"Да",0,IF(ISNUMBER(SEARCH("Fashionware",$E18)),$G18,0)))</f>
        <v/>
      </c>
    </row>
    <row r="19" ht="18" customHeight="1">
      <c r="B19" s="31" t="n">
        <v>15</v>
      </c>
      <c r="C19" s="9" t="n"/>
      <c r="D19" s="22">
        <f>IFERROR(INDEX('КАТАЛОГ'!$B$2:$B$1093,MATCH($C19,'КАТАЛОГ'!$A$2:$A$1093,0)),"")</f>
        <v/>
      </c>
      <c r="E19" s="22">
        <f>IFERROR(INDEX('КАТАЛОГ'!$C$2:$C$1093,MATCH($C19,'КАТАЛОГ'!$A$2:$A$1093,0)),"")</f>
        <v/>
      </c>
      <c r="F19" s="9" t="n"/>
      <c r="G19" s="40">
        <f>IF($C19="",0,IF(ISNUMBER(SEARCH("Neuroport",$C19)),0,IFERROR(INDEX('КАТАЛОГ'!$R$2:$R$1093,MATCH($C19,'КАТАЛОГ'!$A$2:$A$1093,0)),0)))</f>
        <v/>
      </c>
      <c r="H19" s="30">
        <f>IF($C19="",0,IF(ISNUMBER(SEARCH("Neuroport",$C19)),0,IFERROR(INDEX('КАТАЛОГ'!$M$2:$M$1093,MATCH($C19,'КАТАЛОГ'!$A$2:$A$1093,0)),0)))</f>
        <v/>
      </c>
      <c r="I19" s="30">
        <f>IF($C19="",0,IF(OR(N($H19)=0,ISNUMBER(SEARCH("Fashionware",$E19))),0,IF(ISNUMBER(SEARCH("Borgware",$E19)),4,2)))</f>
        <v/>
      </c>
      <c r="J19" s="7" t="inlineStr">
        <is>
          <t>Нет</t>
        </is>
      </c>
      <c r="K19" s="22">
        <f>IFERROR(INDEX('КАТАЛОГ'!$N$2:$N$1093,MATCH($C19,'КАТАЛОГ'!$A$2:$A$1093,0)),"")</f>
        <v/>
      </c>
      <c r="L19" s="21">
        <f>IFERROR(LEFT(INDEX('КАТАЛОГ'!$T$2:$T$1093,MATCH($C19,'КАТАЛОГ'!$A$2:$A$1093,0)),70),"")</f>
        <v/>
      </c>
      <c r="M19" s="40">
        <f>IF($C19="",0,IF($J19&lt;&gt;"Да",0,IF(ISNUMBER(SEARCH("Fashionware",$E19)),0,IF(COUNTIF('05 СНАРЯЖЕНИЕ'!$C$34:$C$53,$C19)&gt;0,0,$G19))))</f>
        <v/>
      </c>
      <c r="N19" s="40">
        <f>IF($C19="",0,IF($J19&lt;&gt;"Да",0,IF(ISNUMBER(SEARCH("Fashionware",$E19)),$G19,0)))</f>
        <v/>
      </c>
    </row>
    <row r="20" ht="18" customHeight="1">
      <c r="B20" s="31" t="n">
        <v>16</v>
      </c>
      <c r="C20" s="9" t="n"/>
      <c r="D20" s="22">
        <f>IFERROR(INDEX('КАТАЛОГ'!$B$2:$B$1093,MATCH($C20,'КАТАЛОГ'!$A$2:$A$1093,0)),"")</f>
        <v/>
      </c>
      <c r="E20" s="22">
        <f>IFERROR(INDEX('КАТАЛОГ'!$C$2:$C$1093,MATCH($C20,'КАТАЛОГ'!$A$2:$A$1093,0)),"")</f>
        <v/>
      </c>
      <c r="F20" s="9" t="n"/>
      <c r="G20" s="40">
        <f>IF($C20="",0,IF(ISNUMBER(SEARCH("Neuroport",$C20)),0,IFERROR(INDEX('КАТАЛОГ'!$R$2:$R$1093,MATCH($C20,'КАТАЛОГ'!$A$2:$A$1093,0)),0)))</f>
        <v/>
      </c>
      <c r="H20" s="30">
        <f>IF($C20="",0,IF(ISNUMBER(SEARCH("Neuroport",$C20)),0,IFERROR(INDEX('КАТАЛОГ'!$M$2:$M$1093,MATCH($C20,'КАТАЛОГ'!$A$2:$A$1093,0)),0)))</f>
        <v/>
      </c>
      <c r="I20" s="30">
        <f>IF($C20="",0,IF(OR(N($H20)=0,ISNUMBER(SEARCH("Fashionware",$E20))),0,IF(ISNUMBER(SEARCH("Borgware",$E20)),4,2)))</f>
        <v/>
      </c>
      <c r="J20" s="7" t="inlineStr">
        <is>
          <t>Нет</t>
        </is>
      </c>
      <c r="K20" s="22">
        <f>IFERROR(INDEX('КАТАЛОГ'!$N$2:$N$1093,MATCH($C20,'КАТАЛОГ'!$A$2:$A$1093,0)),"")</f>
        <v/>
      </c>
      <c r="L20" s="21">
        <f>IFERROR(LEFT(INDEX('КАТАЛОГ'!$T$2:$T$1093,MATCH($C20,'КАТАЛОГ'!$A$2:$A$1093,0)),70),"")</f>
        <v/>
      </c>
      <c r="M20" s="40">
        <f>IF($C20="",0,IF($J20&lt;&gt;"Да",0,IF(ISNUMBER(SEARCH("Fashionware",$E20)),0,IF(COUNTIF('05 СНАРЯЖЕНИЕ'!$C$34:$C$53,$C20)&gt;0,0,$G20))))</f>
        <v/>
      </c>
      <c r="N20" s="40">
        <f>IF($C20="",0,IF($J20&lt;&gt;"Да",0,IF(ISNUMBER(SEARCH("Fashionware",$E20)),$G20,0)))</f>
        <v/>
      </c>
    </row>
    <row r="21" ht="18" customHeight="1">
      <c r="B21" s="31" t="n">
        <v>17</v>
      </c>
      <c r="C21" s="9" t="n"/>
      <c r="D21" s="22">
        <f>IFERROR(INDEX('КАТАЛОГ'!$B$2:$B$1093,MATCH($C21,'КАТАЛОГ'!$A$2:$A$1093,0)),"")</f>
        <v/>
      </c>
      <c r="E21" s="22">
        <f>IFERROR(INDEX('КАТАЛОГ'!$C$2:$C$1093,MATCH($C21,'КАТАЛОГ'!$A$2:$A$1093,0)),"")</f>
        <v/>
      </c>
      <c r="F21" s="9" t="n"/>
      <c r="G21" s="40">
        <f>IF($C21="",0,IF(ISNUMBER(SEARCH("Neuroport",$C21)),0,IFERROR(INDEX('КАТАЛОГ'!$R$2:$R$1093,MATCH($C21,'КАТАЛОГ'!$A$2:$A$1093,0)),0)))</f>
        <v/>
      </c>
      <c r="H21" s="30">
        <f>IF($C21="",0,IF(ISNUMBER(SEARCH("Neuroport",$C21)),0,IFERROR(INDEX('КАТАЛОГ'!$M$2:$M$1093,MATCH($C21,'КАТАЛОГ'!$A$2:$A$1093,0)),0)))</f>
        <v/>
      </c>
      <c r="I21" s="30">
        <f>IF($C21="",0,IF(OR(N($H21)=0,ISNUMBER(SEARCH("Fashionware",$E21))),0,IF(ISNUMBER(SEARCH("Borgware",$E21)),4,2)))</f>
        <v/>
      </c>
      <c r="J21" s="7" t="inlineStr">
        <is>
          <t>Нет</t>
        </is>
      </c>
      <c r="K21" s="22">
        <f>IFERROR(INDEX('КАТАЛОГ'!$N$2:$N$1093,MATCH($C21,'КАТАЛОГ'!$A$2:$A$1093,0)),"")</f>
        <v/>
      </c>
      <c r="L21" s="21">
        <f>IFERROR(LEFT(INDEX('КАТАЛОГ'!$T$2:$T$1093,MATCH($C21,'КАТАЛОГ'!$A$2:$A$1093,0)),70),"")</f>
        <v/>
      </c>
      <c r="M21" s="40">
        <f>IF($C21="",0,IF($J21&lt;&gt;"Да",0,IF(ISNUMBER(SEARCH("Fashionware",$E21)),0,IF(COUNTIF('05 СНАРЯЖЕНИЕ'!$C$34:$C$53,$C21)&gt;0,0,$G21))))</f>
        <v/>
      </c>
      <c r="N21" s="40">
        <f>IF($C21="",0,IF($J21&lt;&gt;"Да",0,IF(ISNUMBER(SEARCH("Fashionware",$E21)),$G21,0)))</f>
        <v/>
      </c>
    </row>
    <row r="22" ht="18" customHeight="1">
      <c r="B22" s="31" t="n">
        <v>18</v>
      </c>
      <c r="C22" s="9" t="n"/>
      <c r="D22" s="22">
        <f>IFERROR(INDEX('КАТАЛОГ'!$B$2:$B$1093,MATCH($C22,'КАТАЛОГ'!$A$2:$A$1093,0)),"")</f>
        <v/>
      </c>
      <c r="E22" s="22">
        <f>IFERROR(INDEX('КАТАЛОГ'!$C$2:$C$1093,MATCH($C22,'КАТАЛОГ'!$A$2:$A$1093,0)),"")</f>
        <v/>
      </c>
      <c r="F22" s="9" t="n"/>
      <c r="G22" s="40">
        <f>IF($C22="",0,IF(ISNUMBER(SEARCH("Neuroport",$C22)),0,IFERROR(INDEX('КАТАЛОГ'!$R$2:$R$1093,MATCH($C22,'КАТАЛОГ'!$A$2:$A$1093,0)),0)))</f>
        <v/>
      </c>
      <c r="H22" s="30">
        <f>IF($C22="",0,IF(ISNUMBER(SEARCH("Neuroport",$C22)),0,IFERROR(INDEX('КАТАЛОГ'!$M$2:$M$1093,MATCH($C22,'КАТАЛОГ'!$A$2:$A$1093,0)),0)))</f>
        <v/>
      </c>
      <c r="I22" s="30">
        <f>IF($C22="",0,IF(OR(N($H22)=0,ISNUMBER(SEARCH("Fashionware",$E22))),0,IF(ISNUMBER(SEARCH("Borgware",$E22)),4,2)))</f>
        <v/>
      </c>
      <c r="J22" s="7" t="inlineStr">
        <is>
          <t>Нет</t>
        </is>
      </c>
      <c r="K22" s="22">
        <f>IFERROR(INDEX('КАТАЛОГ'!$N$2:$N$1093,MATCH($C22,'КАТАЛОГ'!$A$2:$A$1093,0)),"")</f>
        <v/>
      </c>
      <c r="L22" s="21">
        <f>IFERROR(LEFT(INDEX('КАТАЛОГ'!$T$2:$T$1093,MATCH($C22,'КАТАЛОГ'!$A$2:$A$1093,0)),70),"")</f>
        <v/>
      </c>
      <c r="M22" s="40">
        <f>IF($C22="",0,IF($J22&lt;&gt;"Да",0,IF(ISNUMBER(SEARCH("Fashionware",$E22)),0,IF(COUNTIF('05 СНАРЯЖЕНИЕ'!$C$34:$C$53,$C22)&gt;0,0,$G22))))</f>
        <v/>
      </c>
      <c r="N22" s="40">
        <f>IF($C22="",0,IF($J22&lt;&gt;"Да",0,IF(ISNUMBER(SEARCH("Fashionware",$E22)),$G22,0)))</f>
        <v/>
      </c>
    </row>
    <row r="23" ht="18" customHeight="1">
      <c r="B23" s="31" t="n">
        <v>19</v>
      </c>
      <c r="C23" s="9" t="n"/>
      <c r="D23" s="22">
        <f>IFERROR(INDEX('КАТАЛОГ'!$B$2:$B$1093,MATCH($C23,'КАТАЛОГ'!$A$2:$A$1093,0)),"")</f>
        <v/>
      </c>
      <c r="E23" s="22">
        <f>IFERROR(INDEX('КАТАЛОГ'!$C$2:$C$1093,MATCH($C23,'КАТАЛОГ'!$A$2:$A$1093,0)),"")</f>
        <v/>
      </c>
      <c r="F23" s="9" t="n"/>
      <c r="G23" s="40">
        <f>IF($C23="",0,IF(ISNUMBER(SEARCH("Neuroport",$C23)),0,IFERROR(INDEX('КАТАЛОГ'!$R$2:$R$1093,MATCH($C23,'КАТАЛОГ'!$A$2:$A$1093,0)),0)))</f>
        <v/>
      </c>
      <c r="H23" s="30">
        <f>IF($C23="",0,IF(ISNUMBER(SEARCH("Neuroport",$C23)),0,IFERROR(INDEX('КАТАЛОГ'!$M$2:$M$1093,MATCH($C23,'КАТАЛОГ'!$A$2:$A$1093,0)),0)))</f>
        <v/>
      </c>
      <c r="I23" s="30">
        <f>IF($C23="",0,IF(OR(N($H23)=0,ISNUMBER(SEARCH("Fashionware",$E23))),0,IF(ISNUMBER(SEARCH("Borgware",$E23)),4,2)))</f>
        <v/>
      </c>
      <c r="J23" s="7" t="inlineStr">
        <is>
          <t>Нет</t>
        </is>
      </c>
      <c r="K23" s="22">
        <f>IFERROR(INDEX('КАТАЛОГ'!$N$2:$N$1093,MATCH($C23,'КАТАЛОГ'!$A$2:$A$1093,0)),"")</f>
        <v/>
      </c>
      <c r="L23" s="21">
        <f>IFERROR(LEFT(INDEX('КАТАЛОГ'!$T$2:$T$1093,MATCH($C23,'КАТАЛОГ'!$A$2:$A$1093,0)),70),"")</f>
        <v/>
      </c>
      <c r="M23" s="40">
        <f>IF($C23="",0,IF($J23&lt;&gt;"Да",0,IF(ISNUMBER(SEARCH("Fashionware",$E23)),0,IF(COUNTIF('05 СНАРЯЖЕНИЕ'!$C$34:$C$53,$C23)&gt;0,0,$G23))))</f>
        <v/>
      </c>
      <c r="N23" s="40">
        <f>IF($C23="",0,IF($J23&lt;&gt;"Да",0,IF(ISNUMBER(SEARCH("Fashionware",$E23)),$G23,0)))</f>
        <v/>
      </c>
    </row>
    <row r="24" ht="18" customHeight="1">
      <c r="B24" s="31" t="n">
        <v>20</v>
      </c>
      <c r="C24" s="9" t="n"/>
      <c r="D24" s="22">
        <f>IFERROR(INDEX('КАТАЛОГ'!$B$2:$B$1093,MATCH($C24,'КАТАЛОГ'!$A$2:$A$1093,0)),"")</f>
        <v/>
      </c>
      <c r="E24" s="22">
        <f>IFERROR(INDEX('КАТАЛОГ'!$C$2:$C$1093,MATCH($C24,'КАТАЛОГ'!$A$2:$A$1093,0)),"")</f>
        <v/>
      </c>
      <c r="F24" s="9" t="n"/>
      <c r="G24" s="40">
        <f>IF($C24="",0,IF(ISNUMBER(SEARCH("Neuroport",$C24)),0,IFERROR(INDEX('КАТАЛОГ'!$R$2:$R$1093,MATCH($C24,'КАТАЛОГ'!$A$2:$A$1093,0)),0)))</f>
        <v/>
      </c>
      <c r="H24" s="30">
        <f>IF($C24="",0,IF(ISNUMBER(SEARCH("Neuroport",$C24)),0,IFERROR(INDEX('КАТАЛОГ'!$M$2:$M$1093,MATCH($C24,'КАТАЛОГ'!$A$2:$A$1093,0)),0)))</f>
        <v/>
      </c>
      <c r="I24" s="30">
        <f>IF($C24="",0,IF(OR(N($H24)=0,ISNUMBER(SEARCH("Fashionware",$E24))),0,IF(ISNUMBER(SEARCH("Borgware",$E24)),4,2)))</f>
        <v/>
      </c>
      <c r="J24" s="7" t="inlineStr">
        <is>
          <t>Нет</t>
        </is>
      </c>
      <c r="K24" s="22">
        <f>IFERROR(INDEX('КАТАЛОГ'!$N$2:$N$1093,MATCH($C24,'КАТАЛОГ'!$A$2:$A$1093,0)),"")</f>
        <v/>
      </c>
      <c r="L24" s="21">
        <f>IFERROR(LEFT(INDEX('КАТАЛОГ'!$T$2:$T$1093,MATCH($C24,'КАТАЛОГ'!$A$2:$A$1093,0)),70),"")</f>
        <v/>
      </c>
      <c r="M24" s="40">
        <f>IF($C24="",0,IF($J24&lt;&gt;"Да",0,IF(ISNUMBER(SEARCH("Fashionware",$E24)),0,IF(COUNTIF('05 СНАРЯЖЕНИЕ'!$C$34:$C$53,$C24)&gt;0,0,$G24))))</f>
        <v/>
      </c>
      <c r="N24" s="40">
        <f>IF($C24="",0,IF($J24&lt;&gt;"Да",0,IF(ISNUMBER(SEARCH("Fashionware",$E24)),$G24,0)))</f>
        <v/>
      </c>
    </row>
    <row r="25">
      <c r="B25" s="8" t="inlineStr">
        <is>
          <t>ИТОГО (ТОЛЬКО ОТМЕЧЕННЫЕ «ДА»)</t>
        </is>
      </c>
      <c r="C25" s="18" t="n"/>
      <c r="D25" s="18" t="n"/>
      <c r="E25" s="18" t="n"/>
      <c r="F25" s="19" t="n"/>
      <c r="G25" s="40">
        <f>SUM($M$5:$M$24)+SUM($N$5:$N$24)</f>
        <v/>
      </c>
      <c r="H25" s="30">
        <f>SUMIF($J$5:$J$24,"Да",$H$5:$H$24)</f>
        <v/>
      </c>
      <c r="I25" s="30">
        <f>SUMIF($J$5:$J$24,"Да",$I$5:$I$24)</f>
        <v/>
      </c>
      <c r="J25" s="6" t="inlineStr">
        <is>
          <t>HL / срез</t>
        </is>
      </c>
      <c r="K25" s="6" t="inlineStr">
        <is>
          <t>→ переносится в HUMANITY на листе 02</t>
        </is>
      </c>
      <c r="M25" s="40">
        <f>SUM($M$5:$M$24)</f>
        <v/>
      </c>
      <c r="N25" s="40">
        <f>SUM($N$5:$N$24)</f>
        <v/>
      </c>
    </row>
    <row r="26">
      <c r="B26" s="8" t="inlineStr">
        <is>
          <t>NEUROPORT УСТАНОВЛЕН (2070)</t>
        </is>
      </c>
      <c r="C26" s="18" t="n"/>
      <c r="D26" s="19" t="n"/>
      <c r="E26" s="7" t="inlineStr">
        <is>
          <t>Да</t>
        </is>
      </c>
      <c r="F26" s="22">
        <f>IF(AND($E$26="Нет",COUNTIF($J$5:$J$24,"Да")&gt;0),"⚠ По правилам 2070-х любой немедицинский хром требует Neuroport (CEMK стр. 26)","✔ ок. Neuroport при создании: 0 €$, 0 HL, максимум Humanity не режется (в игре установка — 1000 €$ и 7 HL в среднем)")</f>
        <v/>
      </c>
      <c r="G26" s="18" t="n"/>
      <c r="H26" s="18" t="n"/>
      <c r="I26" s="18" t="n"/>
      <c r="J26" s="18" t="n"/>
      <c r="K26" s="18" t="n"/>
      <c r="L26" s="19" t="n"/>
    </row>
    <row r="27" ht="30" customHeight="1">
      <c r="B27" s="21" t="inlineStr">
        <is>
          <t>NEUROPORT ДАЁТ: Neural Link (5 слотов Neuralware Options) · Holophone · Biomonitor · Virtu · HUD/Chyron (перевод и субтитры на ходу) · 2 чип-слота под шарды · Personal Link (Interface Plug). Порт под кибердеку — 100 €$ и 3 (1d6) HL; диапазон сети 20 м, до нейропортов — 50 м.</t>
        </is>
      </c>
      <c r="C27" s="18" t="n"/>
      <c r="D27" s="18" t="n"/>
      <c r="E27" s="18" t="n"/>
      <c r="F27" s="18" t="n"/>
      <c r="G27" s="18" t="n"/>
      <c r="H27" s="18" t="n"/>
      <c r="I27" s="18" t="n"/>
      <c r="J27" s="18" t="n"/>
      <c r="K27" s="18" t="n"/>
      <c r="L27" s="19" t="n"/>
    </row>
    <row r="28" ht="26" customHeight="1">
      <c r="B28" s="6" t="inlineStr">
        <is>
          <t>ЖЁСТКИЕ ЛИМИТЫ: одно Speedware на пользователя · один Cyberdeck подключён за раз · цибер-оружие в руке считается имплантом и требует слот(ы) киберруки. Эффекты смотри в КАТАЛОГЕ.</t>
        </is>
      </c>
    </row>
    <row r="30">
      <c r="B30" s="17" t="inlineStr">
        <is>
          <t>Ⅰ · HUMANITY  ·  ЧЕЛОВЕЧНОСТЬ, ХЛ, ТЕРАПИЯ</t>
        </is>
      </c>
    </row>
    <row r="31" ht="18" customHeight="1">
      <c r="B31" s="8" t="inlineStr">
        <is>
          <t>БАЗА (EMP × 10)</t>
        </is>
      </c>
      <c r="C31" s="19" t="n"/>
      <c r="D31" s="30">
        <f>'02 ОСНОВА'!$D$31</f>
        <v/>
      </c>
      <c r="E31" s="21" t="inlineStr">
        <is>
          <t>От исходной EMP (лист 02, колонка «ЗНАЧ.»).</t>
        </is>
      </c>
      <c r="F31" s="18" t="n"/>
      <c r="G31" s="18" t="n"/>
      <c r="H31" s="18" t="n"/>
      <c r="I31" s="18" t="n"/>
      <c r="J31" s="18" t="n"/>
      <c r="K31" s="18" t="n"/>
      <c r="L31" s="19" t="n"/>
    </row>
    <row r="32" ht="18" customHeight="1">
      <c r="B32" s="8" t="inlineStr">
        <is>
          <t>СРЕЗ МАКСИМУМА ЗА ХРОМ</t>
        </is>
      </c>
      <c r="C32" s="19" t="n"/>
      <c r="D32" s="30">
        <f>'02 ОСНОВА'!$D$32</f>
        <v/>
      </c>
      <c r="E32" s="21" t="inlineStr">
        <is>
          <t>Этот же срез стоит в колонке «СРЕЗ» выше. Fashionware и стартовый Neuroport не режут максимум.</t>
        </is>
      </c>
      <c r="F32" s="18" t="n"/>
      <c r="G32" s="18" t="n"/>
      <c r="H32" s="18" t="n"/>
      <c r="I32" s="18" t="n"/>
      <c r="J32" s="18" t="n"/>
      <c r="K32" s="18" t="n"/>
      <c r="L32" s="19" t="n"/>
    </row>
    <row r="33" ht="18" customHeight="1">
      <c r="B33" s="8" t="inlineStr">
        <is>
          <t>HUMANITY МАКСИМУМ</t>
        </is>
      </c>
      <c r="C33" s="19" t="n"/>
      <c r="D33" s="30">
        <f>'02 ОСНОВА'!$D$33</f>
        <v/>
      </c>
      <c r="E33" s="21" t="inlineStr">
        <is>
          <t>База минус срез. Вернуть выше максимума нельзя — только снимать хром.</t>
        </is>
      </c>
      <c r="F33" s="18" t="n"/>
      <c r="G33" s="18" t="n"/>
      <c r="H33" s="18" t="n"/>
      <c r="I33" s="18" t="n"/>
      <c r="J33" s="18" t="n"/>
      <c r="K33" s="18" t="n"/>
      <c r="L33" s="19" t="n"/>
    </row>
    <row r="34" ht="18" customHeight="1">
      <c r="B34" s="8" t="inlineStr">
        <is>
          <t>HL ВСЕГО (СРЕДНЕЕ)</t>
        </is>
      </c>
      <c r="C34" s="19" t="n"/>
      <c r="D34" s="30">
        <f>'02 ОСНОВА'!$D$34</f>
        <v/>
      </c>
      <c r="E34" s="21" t="inlineStr">
        <is>
          <t>Сумма средних HL установленного хрома. Твоё дом-правило: 7 (2d6) = −7.</t>
        </is>
      </c>
      <c r="F34" s="18" t="n"/>
      <c r="G34" s="18" t="n"/>
      <c r="H34" s="18" t="n"/>
      <c r="I34" s="18" t="n"/>
      <c r="J34" s="18" t="n"/>
      <c r="K34" s="18" t="n"/>
      <c r="L34" s="19" t="n"/>
    </row>
    <row r="35" ht="18" customHeight="1">
      <c r="B35" s="8" t="inlineStr">
        <is>
          <t>ВОССТАНОВЛЕНО (ТЕРАПИЯ/ОПЫТ)</t>
        </is>
      </c>
      <c r="C35" s="19" t="n"/>
      <c r="D35" s="30">
        <f>'02 ОСНОВА'!$D$35</f>
        <v/>
      </c>
      <c r="E35" s="21" t="inlineStr">
        <is>
          <t>Правится на листе 02, ячейка D35: терапия + Humanity Gain по CEMK.</t>
        </is>
      </c>
      <c r="F35" s="18" t="n"/>
      <c r="G35" s="18" t="n"/>
      <c r="H35" s="18" t="n"/>
      <c r="I35" s="18" t="n"/>
      <c r="J35" s="18" t="n"/>
      <c r="K35" s="18" t="n"/>
      <c r="L35" s="19" t="n"/>
    </row>
    <row r="36" ht="18" customHeight="1">
      <c r="B36" s="8" t="inlineStr">
        <is>
          <t>HUMANITY ТЕКУЩАЯ</t>
        </is>
      </c>
      <c r="C36" s="19" t="n"/>
      <c r="D36" s="30">
        <f>'02 ОСНОВА'!$D$36</f>
        <v/>
      </c>
      <c r="E36" s="21" t="inlineStr">
        <is>
          <t>База − HL + восстановленное, но не выше максимума.</t>
        </is>
      </c>
      <c r="F36" s="18" t="n"/>
      <c r="G36" s="18" t="n"/>
      <c r="H36" s="18" t="n"/>
      <c r="I36" s="18" t="n"/>
      <c r="J36" s="18" t="n"/>
      <c r="K36" s="18" t="n"/>
      <c r="L36" s="19" t="n"/>
    </row>
    <row r="37" ht="18" customHeight="1">
      <c r="B37" s="8" t="inlineStr">
        <is>
          <t>EMP ТЕКУЩАЯ</t>
        </is>
      </c>
      <c r="C37" s="19" t="n"/>
      <c r="D37" s="30">
        <f>'02 ОСНОВА'!$D$37</f>
        <v/>
      </c>
      <c r="E37" s="21" t="inlineStr">
        <is>
          <t>Каждый раз, когда десяток Humanity падает — падает и EMP.</t>
        </is>
      </c>
      <c r="F37" s="18" t="n"/>
      <c r="G37" s="18" t="n"/>
      <c r="H37" s="18" t="n"/>
      <c r="I37" s="18" t="n"/>
      <c r="J37" s="18" t="n"/>
      <c r="K37" s="18" t="n"/>
      <c r="L37" s="19" t="n"/>
    </row>
    <row r="38" ht="18" customHeight="1">
      <c r="B38" s="8" t="inlineStr">
        <is>
          <t>СТАТУС</t>
        </is>
      </c>
      <c r="C38" s="19" t="n"/>
      <c r="D38" s="30">
        <f>'02 ОСНОВА'!$D$38</f>
        <v/>
      </c>
      <c r="E38" s="21" t="inlineStr">
        <is>
          <t>Humanity &lt; 0 = киберпсихоз: лист забирает GM.</t>
        </is>
      </c>
      <c r="F38" s="18" t="n"/>
      <c r="G38" s="18" t="n"/>
      <c r="H38" s="18" t="n"/>
      <c r="I38" s="18" t="n"/>
      <c r="J38" s="18" t="n"/>
      <c r="K38" s="18" t="n"/>
      <c r="L38" s="19" t="n"/>
    </row>
    <row r="39">
      <c r="B39" s="8" t="inlineStr">
        <is>
          <t>ШКАЛА HUMANITY</t>
        </is>
      </c>
      <c r="C39" s="19" t="n"/>
      <c r="D39" s="30">
        <f>'02 ОСНОВА'!$D$36</f>
        <v/>
      </c>
      <c r="E39" s="22">
        <f>REPT("█",MAX(0,MIN(40,ROUND($D$39/2,0))))&amp;REPT("░",MAX(0,40-MIN(40,ROUND($D$39/2,0))))</f>
        <v/>
      </c>
      <c r="F39" s="18" t="n"/>
      <c r="G39" s="18" t="n"/>
      <c r="H39" s="18" t="n"/>
      <c r="I39" s="18" t="n"/>
      <c r="J39" s="18" t="n"/>
      <c r="K39" s="18" t="n"/>
      <c r="L39" s="19" t="n"/>
    </row>
    <row r="41">
      <c r="B41" s="17" t="inlineStr">
        <is>
          <t>Ⅱ · ТЕРАПИЯ  ·  1 НЕДЕЛЯ ЗА СЕАНС (CP:R СТР. 229) · MEDTECH НЕ ЛЕЧИТ СЕБЯ САМ</t>
        </is>
      </c>
    </row>
    <row r="42">
      <c r="B42" s="20" t="inlineStr">
        <is>
          <t>ТИП</t>
        </is>
      </c>
      <c r="D42" s="20" t="inlineStr">
        <is>
          <t>ЦЕНА</t>
        </is>
      </c>
      <c r="E42" s="20" t="inlineStr">
        <is>
          <t>DV / МАТЕРИАЛЫ</t>
        </is>
      </c>
      <c r="G42" s="20" t="inlineStr">
        <is>
          <t>ЭФФЕКТ</t>
        </is>
      </c>
    </row>
    <row r="43" ht="18" customHeight="1">
      <c r="B43" s="21" t="inlineStr">
        <is>
          <t>Standard Humanity Loss</t>
        </is>
      </c>
      <c r="C43" s="19" t="n"/>
      <c r="D43" s="31" t="inlineStr">
        <is>
          <t>500 €$</t>
        </is>
      </c>
      <c r="E43" s="21" t="inlineStr">
        <is>
          <t>Medical Tech DV15 · материалы 100 €$</t>
        </is>
      </c>
      <c r="F43" s="19" t="n"/>
      <c r="G43" s="21" t="inlineStr">
        <is>
          <t>Возврат 2d6 Humanity (в среднем 7). Больше максимума не поднять.</t>
        </is>
      </c>
      <c r="H43" s="18" t="n"/>
      <c r="I43" s="18" t="n"/>
      <c r="J43" s="18" t="n"/>
      <c r="K43" s="18" t="n"/>
      <c r="L43" s="19" t="n"/>
    </row>
    <row r="44" ht="18" customHeight="1">
      <c r="B44" s="21" t="inlineStr">
        <is>
          <t>Extreme Humanity Loss</t>
        </is>
      </c>
      <c r="C44" s="19" t="n"/>
      <c r="D44" s="31" t="inlineStr">
        <is>
          <t>1 000 €$</t>
        </is>
      </c>
      <c r="E44" s="21" t="inlineStr">
        <is>
          <t>Medical Tech DV17 · материалы 500 €$</t>
        </is>
      </c>
      <c r="F44" s="19" t="n"/>
      <c r="G44" s="21" t="inlineStr">
        <is>
          <t>Возврат 4d6 Humanity (в среднем 14). Только при серьёзных потерях.</t>
        </is>
      </c>
      <c r="H44" s="18" t="n"/>
      <c r="I44" s="18" t="n"/>
      <c r="J44" s="18" t="n"/>
      <c r="K44" s="18" t="n"/>
      <c r="L44" s="19" t="n"/>
    </row>
    <row r="45" ht="18" customHeight="1">
      <c r="B45" s="21" t="inlineStr">
        <is>
          <t>Addiction</t>
        </is>
      </c>
      <c r="C45" s="19" t="n"/>
      <c r="D45" s="31" t="inlineStr">
        <is>
          <t>1 000 €$</t>
        </is>
      </c>
      <c r="E45" s="21" t="inlineStr">
        <is>
          <t>Medical Tech DV15 · материалы 500 €$</t>
        </is>
      </c>
      <c r="F45" s="19" t="n"/>
      <c r="G45" s="21" t="inlineStr">
        <is>
          <t>Снимает одну зависимость. Год авто-провалов на вторичный эффект источника.</t>
        </is>
      </c>
      <c r="H45" s="18" t="n"/>
      <c r="I45" s="18" t="n"/>
      <c r="J45" s="18" t="n"/>
      <c r="K45" s="18" t="n"/>
      <c r="L45" s="19" t="n"/>
    </row>
    <row r="47">
      <c r="B47" s="17" t="inlineStr">
        <is>
          <t>Ⅲ · МЕНТАЛЬНАЯ ТРАВМА ПО 2070-М (CEMK): HUMANITY LOSS / GAIN СОБЫТИЯМИ</t>
        </is>
      </c>
    </row>
    <row r="48">
      <c r="B48" s="20" t="inlineStr">
        <is>
          <t>БРОСОК</t>
        </is>
      </c>
      <c r="D48" s="20" t="inlineStr">
        <is>
          <t>ПРИМЕРЫ СОБЫТИЙ</t>
        </is>
      </c>
    </row>
    <row r="49" ht="18" customHeight="1">
      <c r="B49" s="31" t="inlineStr">
        <is>
          <t>1d6</t>
        </is>
      </c>
      <c r="C49" s="19" t="n"/>
      <c r="D49" s="21" t="inlineStr">
        <is>
          <t>Свидетель или участник пыток · угроза смерти · несправедливость системы · ограбление дома/на улице</t>
        </is>
      </c>
      <c r="E49" s="18" t="n"/>
      <c r="F49" s="18" t="n"/>
      <c r="G49" s="18" t="n"/>
      <c r="H49" s="18" t="n"/>
      <c r="I49" s="18" t="n"/>
      <c r="J49" s="18" t="n"/>
      <c r="K49" s="18" t="n"/>
      <c r="L49" s="19" t="n"/>
    </row>
    <row r="50" ht="18" customHeight="1">
      <c r="B50" s="31" t="inlineStr">
        <is>
          <t>2d6</t>
        </is>
      </c>
      <c r="C50" s="19" t="n"/>
      <c r="D50" s="21" t="inlineStr">
        <is>
          <t>Зверское убийство на глазах · первое убийство · тяжёлая физическая или ментальная травма · близкий умер вдали от тебя</t>
        </is>
      </c>
      <c r="E50" s="18" t="n"/>
      <c r="F50" s="18" t="n"/>
      <c r="G50" s="18" t="n"/>
      <c r="H50" s="18" t="n"/>
      <c r="I50" s="18" t="n"/>
      <c r="J50" s="18" t="n"/>
      <c r="K50" s="18" t="n"/>
      <c r="L50" s="19" t="n"/>
    </row>
    <row r="51" ht="18" customHeight="1">
      <c r="B51" s="31" t="inlineStr">
        <is>
          <t>3d6</t>
        </is>
      </c>
      <c r="C51" s="19" t="n"/>
      <c r="D51" s="21" t="inlineStr">
        <is>
          <t>Участие в убийстве невиновного · смерть близкого на твоих глазах · жизнь в зоне хуже Боевой больше недели</t>
        </is>
      </c>
      <c r="E51" s="18" t="n"/>
      <c r="F51" s="18" t="n"/>
      <c r="G51" s="18" t="n"/>
      <c r="H51" s="18" t="n"/>
      <c r="I51" s="18" t="n"/>
      <c r="J51" s="18" t="n"/>
      <c r="K51" s="18" t="n"/>
      <c r="L51" s="19" t="n"/>
    </row>
    <row r="52" ht="18" customHeight="1">
      <c r="B52" s="31" t="inlineStr">
        <is>
          <t>GAIN 1d6</t>
        </is>
      </c>
      <c r="C52" s="19" t="n"/>
      <c r="D52" s="21" t="inlineStr">
        <is>
          <t>Победа над личным врагом · катарсис от символической победы · примирение с семьёй · настоящий друг</t>
        </is>
      </c>
      <c r="E52" s="18" t="n"/>
      <c r="F52" s="18" t="n"/>
      <c r="G52" s="18" t="n"/>
      <c r="H52" s="18" t="n"/>
      <c r="I52" s="18" t="n"/>
      <c r="J52" s="18" t="n"/>
      <c r="K52" s="18" t="n"/>
      <c r="L52" s="19" t="n"/>
    </row>
    <row r="53" ht="18" customHeight="1">
      <c r="B53" s="31" t="inlineStr">
        <is>
          <t>GAIN 2d6</t>
        </is>
      </c>
      <c r="C53" s="19" t="n"/>
      <c r="D53" s="21" t="inlineStr">
        <is>
          <t>Ты спас чью-то жизнь · вечеринка с друзьями (≥1 000 €$ общей траты) · месяц жизни по Fresh Food</t>
        </is>
      </c>
      <c r="E53" s="18" t="n"/>
      <c r="F53" s="18" t="n"/>
      <c r="G53" s="18" t="n"/>
      <c r="H53" s="18" t="n"/>
      <c r="I53" s="18" t="n"/>
      <c r="J53" s="18" t="n"/>
      <c r="K53" s="18" t="n"/>
      <c r="L53" s="19" t="n"/>
    </row>
    <row r="54" ht="18" customHeight="1">
      <c r="B54" s="31" t="inlineStr">
        <is>
          <t>GAIN 3d6</t>
        </is>
      </c>
      <c r="C54" s="19" t="n"/>
      <c r="D54" s="21" t="inlineStr">
        <is>
          <t>Помолвка, свадьба, усыновление, рождение ребёнка, исполнение мечты · большой праздник (≥10 000 €$)</t>
        </is>
      </c>
      <c r="E54" s="18" t="n"/>
      <c r="F54" s="18" t="n"/>
      <c r="G54" s="18" t="n"/>
      <c r="H54" s="18" t="n"/>
      <c r="I54" s="18" t="n"/>
      <c r="J54" s="18" t="n"/>
      <c r="K54" s="18" t="n"/>
      <c r="L54" s="19" t="n"/>
    </row>
    <row r="56">
      <c r="B56" s="17" t="inlineStr">
        <is>
          <t>Ⅳ · КИБЕРПСИХОЗ: ЧТО ЭТО ЗНАЧИТ ЗА СТОЛОМ</t>
        </is>
      </c>
    </row>
    <row r="57" ht="60" customHeight="1">
      <c r="B57" s="21" t="inlineStr">
        <is>
          <t>Humanity — это не «здоровье психики», а способность считать других живыми. На низкой Humanity персонаж начинает видеть в людях наборы деталей: он отстранён, диссоциирован, «люди — запчасти». При Humanity ниже 0 киберпсихоз переходит в крайнюю стадию, и GM играет персонажа по его худшим наклонностям, пока команда (или Medtech) не вытащат его терапией. Держи запас Humanity и не пихай хром «на всякий случай».</t>
        </is>
      </c>
      <c r="C57" s="18" t="n"/>
      <c r="D57" s="18" t="n"/>
      <c r="E57" s="18" t="n"/>
      <c r="F57" s="18" t="n"/>
      <c r="G57" s="18" t="n"/>
      <c r="H57" s="18" t="n"/>
      <c r="I57" s="18" t="n"/>
      <c r="J57" s="18" t="n"/>
      <c r="K57" s="18" t="n"/>
      <c r="L57" s="19" t="n"/>
    </row>
  </sheetData>
  <mergeCells count="58">
    <mergeCell ref="E43:F43"/>
    <mergeCell ref="K25:L25"/>
    <mergeCell ref="D49:L49"/>
    <mergeCell ref="B54:C54"/>
    <mergeCell ref="B25:F25"/>
    <mergeCell ref="E33:L33"/>
    <mergeCell ref="B47:L47"/>
    <mergeCell ref="E42:F42"/>
    <mergeCell ref="D48:L48"/>
    <mergeCell ref="B31:C31"/>
    <mergeCell ref="D53:L53"/>
    <mergeCell ref="E39:L39"/>
    <mergeCell ref="B27:L27"/>
    <mergeCell ref="B43:C43"/>
    <mergeCell ref="B56:L56"/>
    <mergeCell ref="B39:C39"/>
    <mergeCell ref="E44:F44"/>
    <mergeCell ref="E35:L35"/>
    <mergeCell ref="B52:C52"/>
    <mergeCell ref="B48:C48"/>
    <mergeCell ref="B2:F2"/>
    <mergeCell ref="E38:L38"/>
    <mergeCell ref="B42:C42"/>
    <mergeCell ref="G45:L45"/>
    <mergeCell ref="B3:N3"/>
    <mergeCell ref="B53:C53"/>
    <mergeCell ref="E31:L31"/>
    <mergeCell ref="B57:L57"/>
    <mergeCell ref="E34:L34"/>
    <mergeCell ref="B38:C38"/>
    <mergeCell ref="B44:C44"/>
    <mergeCell ref="D51:L51"/>
    <mergeCell ref="G44:L44"/>
    <mergeCell ref="B34:C34"/>
    <mergeCell ref="B37:C37"/>
    <mergeCell ref="B26:D26"/>
    <mergeCell ref="E45:F45"/>
    <mergeCell ref="D50:L50"/>
    <mergeCell ref="D54:L54"/>
    <mergeCell ref="B28:L28"/>
    <mergeCell ref="E36:L36"/>
    <mergeCell ref="G43:L43"/>
    <mergeCell ref="B49:C49"/>
    <mergeCell ref="B33:C33"/>
    <mergeCell ref="F26:L26"/>
    <mergeCell ref="B1:N1"/>
    <mergeCell ref="B30:L30"/>
    <mergeCell ref="G42:L42"/>
    <mergeCell ref="B51:C51"/>
    <mergeCell ref="B45:C45"/>
    <mergeCell ref="E32:L32"/>
    <mergeCell ref="B36:C36"/>
    <mergeCell ref="B32:C32"/>
    <mergeCell ref="B50:C50"/>
    <mergeCell ref="E37:L37"/>
    <mergeCell ref="B35:C35"/>
    <mergeCell ref="B41:L41"/>
    <mergeCell ref="D52:L52"/>
  </mergeCells>
  <conditionalFormatting sqref="F26">
    <cfRule type="expression" priority="1" dxfId="1" stopIfTrue="0">
      <formula>LEFT($F$26,1)="⚠"</formula>
    </cfRule>
  </conditionalFormatting>
  <conditionalFormatting sqref="D37">
    <cfRule type="expression" priority="2" dxfId="1" stopIfTrue="0">
      <formula>OR($D$37&lt;10,$D$37&lt;0)</formula>
    </cfRule>
  </conditionalFormatting>
  <conditionalFormatting sqref="D36">
    <cfRule type="expression" priority="3" dxfId="1" stopIfTrue="0">
      <formula>OR($D$36&lt;10,$D$36&lt;0)</formula>
    </cfRule>
  </conditionalFormatting>
  <dataValidations count="41">
    <dataValidation sqref="C5" showDropDown="0" showInputMessage="0" showErrorMessage="0" allowBlank="1" type="list">
      <formula1>='КАТАЛОГ'!$A$2:$A$1093</formula1>
    </dataValidation>
    <dataValidation sqref="J5" showDropDown="0" showInputMessage="0" showErrorMessage="0" allowBlank="1" type="list">
      <formula1>"Да,Нет"</formula1>
    </dataValidation>
    <dataValidation sqref="C6" showDropDown="0" showInputMessage="0" showErrorMessage="0" allowBlank="1" type="list">
      <formula1>='КАТАЛОГ'!$A$2:$A$1093</formula1>
    </dataValidation>
    <dataValidation sqref="J6" showDropDown="0" showInputMessage="0" showErrorMessage="0" allowBlank="1" type="list">
      <formula1>"Да,Нет"</formula1>
    </dataValidation>
    <dataValidation sqref="C7" showDropDown="0" showInputMessage="0" showErrorMessage="0" allowBlank="1" type="list">
      <formula1>='КАТАЛОГ'!$A$2:$A$1093</formula1>
    </dataValidation>
    <dataValidation sqref="J7" showDropDown="0" showInputMessage="0" showErrorMessage="0" allowBlank="1" type="list">
      <formula1>"Да,Нет"</formula1>
    </dataValidation>
    <dataValidation sqref="C8" showDropDown="0" showInputMessage="0" showErrorMessage="0" allowBlank="1" type="list">
      <formula1>='КАТАЛОГ'!$A$2:$A$1093</formula1>
    </dataValidation>
    <dataValidation sqref="J8" showDropDown="0" showInputMessage="0" showErrorMessage="0" allowBlank="1" type="list">
      <formula1>"Да,Нет"</formula1>
    </dataValidation>
    <dataValidation sqref="C9" showDropDown="0" showInputMessage="0" showErrorMessage="0" allowBlank="1" type="list">
      <formula1>='КАТАЛОГ'!$A$2:$A$1093</formula1>
    </dataValidation>
    <dataValidation sqref="J9" showDropDown="0" showInputMessage="0" showErrorMessage="0" allowBlank="1" type="list">
      <formula1>"Да,Нет"</formula1>
    </dataValidation>
    <dataValidation sqref="C10" showDropDown="0" showInputMessage="0" showErrorMessage="0" allowBlank="1" type="list">
      <formula1>='КАТАЛОГ'!$A$2:$A$1093</formula1>
    </dataValidation>
    <dataValidation sqref="J10" showDropDown="0" showInputMessage="0" showErrorMessage="0" allowBlank="1" type="list">
      <formula1>"Да,Нет"</formula1>
    </dataValidation>
    <dataValidation sqref="C11" showDropDown="0" showInputMessage="0" showErrorMessage="0" allowBlank="1" type="list">
      <formula1>='КАТАЛОГ'!$A$2:$A$1093</formula1>
    </dataValidation>
    <dataValidation sqref="J11" showDropDown="0" showInputMessage="0" showErrorMessage="0" allowBlank="1" type="list">
      <formula1>"Да,Нет"</formula1>
    </dataValidation>
    <dataValidation sqref="C12" showDropDown="0" showInputMessage="0" showErrorMessage="0" allowBlank="1" type="list">
      <formula1>='КАТАЛОГ'!$A$2:$A$1093</formula1>
    </dataValidation>
    <dataValidation sqref="J12" showDropDown="0" showInputMessage="0" showErrorMessage="0" allowBlank="1" type="list">
      <formula1>"Да,Нет"</formula1>
    </dataValidation>
    <dataValidation sqref="C13" showDropDown="0" showInputMessage="0" showErrorMessage="0" allowBlank="1" type="list">
      <formula1>='КАТАЛОГ'!$A$2:$A$1093</formula1>
    </dataValidation>
    <dataValidation sqref="J13" showDropDown="0" showInputMessage="0" showErrorMessage="0" allowBlank="1" type="list">
      <formula1>"Да,Нет"</formula1>
    </dataValidation>
    <dataValidation sqref="C14" showDropDown="0" showInputMessage="0" showErrorMessage="0" allowBlank="1" type="list">
      <formula1>='КАТАЛОГ'!$A$2:$A$1093</formula1>
    </dataValidation>
    <dataValidation sqref="J14" showDropDown="0" showInputMessage="0" showErrorMessage="0" allowBlank="1" type="list">
      <formula1>"Да,Нет"</formula1>
    </dataValidation>
    <dataValidation sqref="C15" showDropDown="0" showInputMessage="0" showErrorMessage="0" allowBlank="1" type="list">
      <formula1>='КАТАЛОГ'!$A$2:$A$1093</formula1>
    </dataValidation>
    <dataValidation sqref="J15" showDropDown="0" showInputMessage="0" showErrorMessage="0" allowBlank="1" type="list">
      <formula1>"Да,Нет"</formula1>
    </dataValidation>
    <dataValidation sqref="C16" showDropDown="0" showInputMessage="0" showErrorMessage="0" allowBlank="1" type="list">
      <formula1>='КАТАЛОГ'!$A$2:$A$1093</formula1>
    </dataValidation>
    <dataValidation sqref="J16" showDropDown="0" showInputMessage="0" showErrorMessage="0" allowBlank="1" type="list">
      <formula1>"Да,Нет"</formula1>
    </dataValidation>
    <dataValidation sqref="C17" showDropDown="0" showInputMessage="0" showErrorMessage="0" allowBlank="1" type="list">
      <formula1>='КАТАЛОГ'!$A$2:$A$1093</formula1>
    </dataValidation>
    <dataValidation sqref="J17" showDropDown="0" showInputMessage="0" showErrorMessage="0" allowBlank="1" type="list">
      <formula1>"Да,Нет"</formula1>
    </dataValidation>
    <dataValidation sqref="C18" showDropDown="0" showInputMessage="0" showErrorMessage="0" allowBlank="1" type="list">
      <formula1>='КАТАЛОГ'!$A$2:$A$1093</formula1>
    </dataValidation>
    <dataValidation sqref="J18" showDropDown="0" showInputMessage="0" showErrorMessage="0" allowBlank="1" type="list">
      <formula1>"Да,Нет"</formula1>
    </dataValidation>
    <dataValidation sqref="C19" showDropDown="0" showInputMessage="0" showErrorMessage="0" allowBlank="1" type="list">
      <formula1>='КАТАЛОГ'!$A$2:$A$1093</formula1>
    </dataValidation>
    <dataValidation sqref="J19" showDropDown="0" showInputMessage="0" showErrorMessage="0" allowBlank="1" type="list">
      <formula1>"Да,Нет"</formula1>
    </dataValidation>
    <dataValidation sqref="C20" showDropDown="0" showInputMessage="0" showErrorMessage="0" allowBlank="1" type="list">
      <formula1>='КАТАЛОГ'!$A$2:$A$1093</formula1>
    </dataValidation>
    <dataValidation sqref="J20" showDropDown="0" showInputMessage="0" showErrorMessage="0" allowBlank="1" type="list">
      <formula1>"Да,Нет"</formula1>
    </dataValidation>
    <dataValidation sqref="C21" showDropDown="0" showInputMessage="0" showErrorMessage="0" allowBlank="1" type="list">
      <formula1>='КАТАЛОГ'!$A$2:$A$1093</formula1>
    </dataValidation>
    <dataValidation sqref="J21" showDropDown="0" showInputMessage="0" showErrorMessage="0" allowBlank="1" type="list">
      <formula1>"Да,Нет"</formula1>
    </dataValidation>
    <dataValidation sqref="C22" showDropDown="0" showInputMessage="0" showErrorMessage="0" allowBlank="1" type="list">
      <formula1>='КАТАЛОГ'!$A$2:$A$1093</formula1>
    </dataValidation>
    <dataValidation sqref="J22" showDropDown="0" showInputMessage="0" showErrorMessage="0" allowBlank="1" type="list">
      <formula1>"Да,Нет"</formula1>
    </dataValidation>
    <dataValidation sqref="C23" showDropDown="0" showInputMessage="0" showErrorMessage="0" allowBlank="1" type="list">
      <formula1>='КАТАЛОГ'!$A$2:$A$1093</formula1>
    </dataValidation>
    <dataValidation sqref="J23" showDropDown="0" showInputMessage="0" showErrorMessage="0" allowBlank="1" type="list">
      <formula1>"Да,Нет"</formula1>
    </dataValidation>
    <dataValidation sqref="C24" showDropDown="0" showInputMessage="0" showErrorMessage="0" allowBlank="1" type="list">
      <formula1>='КАТАЛОГ'!$A$2:$A$1093</formula1>
    </dataValidation>
    <dataValidation sqref="J24" showDropDown="0" showInputMessage="0" showErrorMessage="0" allowBlank="1" type="list">
      <formula1>"Да,Нет"</formula1>
    </dataValidation>
    <dataValidation sqref="E26" showDropDown="0" showInputMessage="0" showErrorMessage="0" allowBlank="1" type="list">
      <formula1>"Да,Нет"</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0A81C"/>
    <outlinePr summaryBelow="1" summaryRight="1"/>
    <pageSetUpPr fitToPage="1"/>
  </sheetPr>
  <dimension ref="B1:O80"/>
  <sheetViews>
    <sheetView showGridLines="0" workbookViewId="0">
      <pane ySplit="8" topLeftCell="A9" activePane="bottomLeft" state="frozen"/>
      <selection pane="bottomLeft" activeCell="A1" sqref="A1"/>
    </sheetView>
  </sheetViews>
  <sheetFormatPr baseColWidth="8" defaultRowHeight="15"/>
  <cols>
    <col width="2" customWidth="1" min="1" max="1"/>
    <col width="4" customWidth="1" min="2" max="2"/>
    <col width="34" customWidth="1" min="3" max="3"/>
    <col width="22" customWidth="1" min="4" max="4"/>
    <col width="18" customWidth="1" min="5" max="5"/>
    <col width="9" customWidth="1" min="6" max="6"/>
    <col width="11" customWidth="1" min="7" max="7"/>
    <col width="9" customWidth="1" min="8" max="8"/>
    <col width="12" customWidth="1" min="9" max="9"/>
    <col width="9" customWidth="1" min="10" max="10"/>
    <col width="11" customWidth="1" min="11" max="11"/>
    <col width="12" customWidth="1" min="12" max="12"/>
    <col width="30" customWidth="1" min="13" max="13"/>
    <col width="11" customWidth="1" min="14" max="14"/>
    <col width="15" customWidth="1" min="15" max="15"/>
    <col width="2" customWidth="1" min="16" max="16"/>
  </cols>
  <sheetData>
    <row r="1" ht="20" customHeight="1">
      <c r="B1" s="1" t="inlineStr">
        <is>
          <t>СНАРЯЖЕНИЕ  ▚  БЮДЖЕТ 2550 €$ + 800 €$ НА СТИЛЬ  ▚  ОРУЖИЕ · БРОНЯ · ИНВЕНТАРЬ · КАССА</t>
        </is>
      </c>
    </row>
    <row r="2">
      <c r="B2" s="6" t="inlineStr">
        <is>
          <t>НАЗВАНИЯ БЕРУТСЯ ИЗ КАТАЛОГА — ЦЕНА, УРОН И ШТРАФЫ ПОДТЯНУТСЯ АВТОМАТИЧЕСКИ. ЕСЛИ ВЕЩИ В КАТАЛОГЕ НЕТ — ВПИШИ СВОЮ ЦЕНУ В СТОЛБЕЦ «ЦЕНА СВОЯ».</t>
        </is>
      </c>
    </row>
    <row r="3">
      <c r="B3" s="8" t="inlineStr">
        <is>
          <t>СТАРТ: ОРУЖИЕ, БРОНЯ, СНАРЯЖЕНИЕ, ХРОМ (€$)</t>
        </is>
      </c>
      <c r="C3" s="18" t="n"/>
      <c r="D3" s="19" t="n"/>
      <c r="E3" s="41" t="n">
        <v>2550</v>
      </c>
      <c r="F3" s="8" t="inlineStr">
        <is>
          <t>ПОТРАЧЕНО</t>
        </is>
      </c>
      <c r="G3" s="40">
        <f>$H$54+SUM('04 ХРОМ'!$M$5:$M$24)+SUM($O$21:$O$26)-($G$4-SUM('04 ХРОМ'!$N$5:$N$24))</f>
        <v/>
      </c>
      <c r="H3" s="8" t="inlineStr">
        <is>
          <t>ОСТАТОК</t>
        </is>
      </c>
      <c r="I3" s="40">
        <f>$E$3-$G$3</f>
        <v/>
      </c>
      <c r="J3" s="6" t="inlineStr">
        <is>
          <t>Копятся из трёх мест: инвентарь (Ⅲ), броня (Ⅱ) и установленный хром (лист 04). Что уже вписано в инвентарь, второй раз не считается.</t>
        </is>
      </c>
    </row>
    <row r="4">
      <c r="B4" s="8" t="inlineStr">
        <is>
          <t>СТАРТ: СТИЛЬ — FASHION И FASHIONWARE (€$)</t>
        </is>
      </c>
      <c r="C4" s="18" t="n"/>
      <c r="D4" s="19" t="n"/>
      <c r="E4" s="41" t="n">
        <v>800</v>
      </c>
      <c r="F4" s="8" t="inlineStr">
        <is>
          <t>ПОТРАЧЕНО</t>
        </is>
      </c>
      <c r="G4" s="40">
        <f>SUMPRODUCT(($D$34:$D$53="Мода")*$I$34:$I$53)+SUMPRODUCT(($E$34:$E$53="Fashionware")*$I$34:$I$53)+SUM('04 ХРОМ'!$N$5:$N$24)</f>
        <v/>
      </c>
      <c r="H4" s="8" t="inlineStr">
        <is>
          <t>ОСТАТОК</t>
        </is>
      </c>
      <c r="I4" s="40">
        <f>$E$4-$G$4</f>
        <v/>
      </c>
      <c r="J4" s="6" t="inlineStr">
        <is>
          <t>Одежда (категория «Мода»), Fashionware из инвентаря и Fashionware-хром с листа 04.</t>
        </is>
      </c>
    </row>
    <row r="5">
      <c r="B5" s="8" t="inlineStr">
        <is>
          <t>НАЛИЧНЫЕ €$ (АВТО)</t>
        </is>
      </c>
      <c r="C5" s="19" t="n"/>
      <c r="D5" s="40">
        <f>$I$3+SUM($E$58:$E$77)</f>
        <v/>
      </c>
      <c r="E5" s="8" t="inlineStr">
        <is>
          <t>ПРОВЕРКА БЮДЖЕТА</t>
        </is>
      </c>
      <c r="F5" s="22">
        <f>IF(OR($I$3&lt;0,$I$4&lt;0),"✖ стартовые бюджеты превышены — согласуй с GM","✔ в рамках стартовых бюджетов: инвентарь + броня + хром")</f>
        <v/>
      </c>
      <c r="G5" s="18" t="n"/>
      <c r="H5" s="19" t="n"/>
      <c r="I5" s="6" t="inlineStr">
        <is>
          <t>Остаток бюджета снаряжения (2 550 €$) остаётся при тебе наличными (CP:R стр. 104: «You keep anything you don’t spend»), а остаток 800 €$ на моду и фэшн-хром сгорает. +1500 €$ «от корпорации» — только на импланты, и вместе с обязательным Neural Link.</t>
        </is>
      </c>
    </row>
    <row r="7">
      <c r="B7" s="17" t="inlineStr">
        <is>
          <t>Ⅰ · ОРУЖИЕ  ·  СТОЛБЕЦ «В РУКАХ 1–4» ВЫНОСИТ ОРУЖИЕ НА ЛИСТ 02</t>
        </is>
      </c>
    </row>
    <row r="8">
      <c r="B8" s="20" t="inlineStr">
        <is>
          <t>№</t>
        </is>
      </c>
      <c r="C8" s="20" t="inlineStr">
        <is>
          <t>НАЗВАНИЕ</t>
        </is>
      </c>
      <c r="D8" s="20" t="inlineStr">
        <is>
          <t>ТИП</t>
        </is>
      </c>
      <c r="E8" s="20" t="inlineStr">
        <is>
          <t>НАВЫК</t>
        </is>
      </c>
      <c r="F8" s="20" t="inlineStr">
        <is>
          <t>УРОН</t>
        </is>
      </c>
      <c r="G8" s="20" t="inlineStr">
        <is>
          <t>ROF</t>
        </is>
      </c>
      <c r="H8" s="20" t="inlineStr">
        <is>
          <t>МАГ.</t>
        </is>
      </c>
      <c r="I8" s="20" t="inlineStr">
        <is>
          <t>ПАТРОНЫ</t>
        </is>
      </c>
      <c r="J8" s="20" t="inlineStr">
        <is>
          <t>КАЧЕСТВО</t>
        </is>
      </c>
      <c r="K8" s="20" t="inlineStr">
        <is>
          <t>В РУКАХ 1–4</t>
        </is>
      </c>
      <c r="L8" s="20" t="inlineStr">
        <is>
          <t>БАЗА АТАКИ</t>
        </is>
      </c>
      <c r="M8" s="20" t="inlineStr">
        <is>
          <t>ЗАМЕТКИ</t>
        </is>
      </c>
    </row>
    <row r="9" ht="18" customHeight="1">
      <c r="B9" s="31" t="n">
        <v>1</v>
      </c>
      <c r="C9" s="9" t="inlineStr">
        <is>
          <t>Con Arms Unity</t>
        </is>
      </c>
      <c r="D9" s="22">
        <f>IFERROR(INDEX('КАТАЛОГ'!$C$2:$C$1093,MATCH($C9,'КАТАЛОГ'!$A$2:$A$1093,0)),"")</f>
        <v/>
      </c>
      <c r="E9" s="22">
        <f>IFERROR(INDEX('КАТАЛОГ'!$D$2:$D$1093,MATCH($C9,'КАТАЛОГ'!$A$2:$A$1093,0)),"")</f>
        <v/>
      </c>
      <c r="F9" s="30">
        <f>IFERROR(INDEX('КАТАЛОГ'!$E$2:$E$1093,MATCH($C9,'КАТАЛОГ'!$A$2:$A$1093,0)),"")</f>
        <v/>
      </c>
      <c r="G9" s="30">
        <f>IFERROR(INDEX('КАТАЛОГ'!$F$2:$F$1093,MATCH($C9,'КАТАЛОГ'!$A$2:$A$1093,0)),"")</f>
        <v/>
      </c>
      <c r="H9" s="30">
        <f>IFERROR(INDEX('КАТАЛОГ'!$G$2:$G$1093,MATCH($C9,'КАТАЛОГ'!$A$2:$A$1093,0)),"")</f>
        <v/>
      </c>
      <c r="I9" s="9" t="inlineStr">
        <is>
          <t>Basic ×40</t>
        </is>
      </c>
      <c r="J9" s="7" t="inlineStr">
        <is>
          <t>Standard</t>
        </is>
      </c>
      <c r="K9" s="7" t="n">
        <v>1</v>
      </c>
      <c r="L9" s="30">
        <f>IF($C9="","",IFERROR(INDEX('03 НАВЫКИ'!$I$5:$I$76,MATCH($E9,'03 НАВЫКИ'!$C$5:$C$76,0))+IF($J9="Excellent",1,IF($J9="Poor",-1,0)),0))</f>
        <v/>
      </c>
      <c r="M9" s="9" t="inlineStr">
        <is>
          <t>Табельный. Power Rebuild: криты +5 урона</t>
        </is>
      </c>
    </row>
    <row r="10" ht="18" customHeight="1">
      <c r="B10" s="31" t="n">
        <v>2</v>
      </c>
      <c r="C10" s="9" t="inlineStr">
        <is>
          <t>Rostović DB-2 Satara</t>
        </is>
      </c>
      <c r="D10" s="22">
        <f>IFERROR(INDEX('КАТАЛОГ'!$C$2:$C$1093,MATCH($C10,'КАТАЛОГ'!$A$2:$A$1093,0)),"")</f>
        <v/>
      </c>
      <c r="E10" s="22">
        <f>IFERROR(INDEX('КАТАЛОГ'!$D$2:$D$1093,MATCH($C10,'КАТАЛОГ'!$A$2:$A$1093,0)),"")</f>
        <v/>
      </c>
      <c r="F10" s="30">
        <f>IFERROR(INDEX('КАТАЛОГ'!$E$2:$E$1093,MATCH($C10,'КАТАЛОГ'!$A$2:$A$1093,0)),"")</f>
        <v/>
      </c>
      <c r="G10" s="30">
        <f>IFERROR(INDEX('КАТАЛОГ'!$F$2:$F$1093,MATCH($C10,'КАТАЛОГ'!$A$2:$A$1093,0)),"")</f>
        <v/>
      </c>
      <c r="H10" s="30">
        <f>IFERROR(INDEX('КАТАЛОГ'!$G$2:$G$1093,MATCH($C10,'КАТАЛОГ'!$A$2:$A$1093,0)),"")</f>
        <v/>
      </c>
      <c r="I10" s="9" t="inlineStr">
        <is>
          <t>Basic ×20</t>
        </is>
      </c>
      <c r="J10" s="7" t="inlineStr">
        <is>
          <t>Standard</t>
        </is>
      </c>
      <c r="K10" s="7" t="n">
        <v>2</v>
      </c>
      <c r="L10" s="30">
        <f>IF($C10="","",IFERROR(INDEX('03 НАВЫКИ'!$I$5:$I$76,MATCH($E10,'03 НАВЫКИ'!$C$5:$C$76,0))+IF($J10="Excellent",1,IF($J10="Poor",-1,0)),0))</f>
        <v/>
      </c>
      <c r="M10" s="9" t="inlineStr">
        <is>
          <t>Tech Rebuild: зарядка → половина SP и стрельба через тонкие укрытия</t>
        </is>
      </c>
    </row>
    <row r="11" ht="18" customHeight="1">
      <c r="B11" s="31" t="n">
        <v>3</v>
      </c>
      <c r="C11" s="9" t="n"/>
      <c r="D11" s="22">
        <f>IFERROR(INDEX('КАТАЛОГ'!$C$2:$C$1093,MATCH($C11,'КАТАЛОГ'!$A$2:$A$1093,0)),"")</f>
        <v/>
      </c>
      <c r="E11" s="22">
        <f>IFERROR(INDEX('КАТАЛОГ'!$D$2:$D$1093,MATCH($C11,'КАТАЛОГ'!$A$2:$A$1093,0)),"")</f>
        <v/>
      </c>
      <c r="F11" s="30">
        <f>IFERROR(INDEX('КАТАЛОГ'!$E$2:$E$1093,MATCH($C11,'КАТАЛОГ'!$A$2:$A$1093,0)),"")</f>
        <v/>
      </c>
      <c r="G11" s="30">
        <f>IFERROR(INDEX('КАТАЛОГ'!$F$2:$F$1093,MATCH($C11,'КАТАЛОГ'!$A$2:$A$1093,0)),"")</f>
        <v/>
      </c>
      <c r="H11" s="30">
        <f>IFERROR(INDEX('КАТАЛОГ'!$G$2:$G$1093,MATCH($C11,'КАТАЛОГ'!$A$2:$A$1093,0)),"")</f>
        <v/>
      </c>
      <c r="I11" s="9" t="n"/>
      <c r="J11" s="7" t="inlineStr">
        <is>
          <t>Standard</t>
        </is>
      </c>
      <c r="K11" s="7" t="n"/>
      <c r="L11" s="30">
        <f>IF($C11="","",IFERROR(INDEX('03 НАВЫКИ'!$I$5:$I$76,MATCH($E11,'03 НАВЫКИ'!$C$5:$C$76,0))+IF($J11="Excellent",1,IF($J11="Poor",-1,0)),0))</f>
        <v/>
      </c>
      <c r="M11" s="9" t="n"/>
    </row>
    <row r="12" ht="18" customHeight="1">
      <c r="B12" s="31" t="n">
        <v>4</v>
      </c>
      <c r="C12" s="9" t="n"/>
      <c r="D12" s="22">
        <f>IFERROR(INDEX('КАТАЛОГ'!$C$2:$C$1093,MATCH($C12,'КАТАЛОГ'!$A$2:$A$1093,0)),"")</f>
        <v/>
      </c>
      <c r="E12" s="22">
        <f>IFERROR(INDEX('КАТАЛОГ'!$D$2:$D$1093,MATCH($C12,'КАТАЛОГ'!$A$2:$A$1093,0)),"")</f>
        <v/>
      </c>
      <c r="F12" s="30">
        <f>IFERROR(INDEX('КАТАЛОГ'!$E$2:$E$1093,MATCH($C12,'КАТАЛОГ'!$A$2:$A$1093,0)),"")</f>
        <v/>
      </c>
      <c r="G12" s="30">
        <f>IFERROR(INDEX('КАТАЛОГ'!$F$2:$F$1093,MATCH($C12,'КАТАЛОГ'!$A$2:$A$1093,0)),"")</f>
        <v/>
      </c>
      <c r="H12" s="30">
        <f>IFERROR(INDEX('КАТАЛОГ'!$G$2:$G$1093,MATCH($C12,'КАТАЛОГ'!$A$2:$A$1093,0)),"")</f>
        <v/>
      </c>
      <c r="I12" s="9" t="n"/>
      <c r="J12" s="7" t="inlineStr">
        <is>
          <t>Standard</t>
        </is>
      </c>
      <c r="K12" s="7" t="n"/>
      <c r="L12" s="30">
        <f>IF($C12="","",IFERROR(INDEX('03 НАВЫКИ'!$I$5:$I$76,MATCH($E12,'03 НАВЫКИ'!$C$5:$C$76,0))+IF($J12="Excellent",1,IF($J12="Poor",-1,0)),0))</f>
        <v/>
      </c>
      <c r="M12" s="9" t="n"/>
    </row>
    <row r="13" ht="18" customHeight="1">
      <c r="B13" s="31" t="n">
        <v>5</v>
      </c>
      <c r="C13" s="9" t="n"/>
      <c r="D13" s="22">
        <f>IFERROR(INDEX('КАТАЛОГ'!$C$2:$C$1093,MATCH($C13,'КАТАЛОГ'!$A$2:$A$1093,0)),"")</f>
        <v/>
      </c>
      <c r="E13" s="22">
        <f>IFERROR(INDEX('КАТАЛОГ'!$D$2:$D$1093,MATCH($C13,'КАТАЛОГ'!$A$2:$A$1093,0)),"")</f>
        <v/>
      </c>
      <c r="F13" s="30">
        <f>IFERROR(INDEX('КАТАЛОГ'!$E$2:$E$1093,MATCH($C13,'КАТАЛОГ'!$A$2:$A$1093,0)),"")</f>
        <v/>
      </c>
      <c r="G13" s="30">
        <f>IFERROR(INDEX('КАТАЛОГ'!$F$2:$F$1093,MATCH($C13,'КАТАЛОГ'!$A$2:$A$1093,0)),"")</f>
        <v/>
      </c>
      <c r="H13" s="30">
        <f>IFERROR(INDEX('КАТАЛОГ'!$G$2:$G$1093,MATCH($C13,'КАТАЛОГ'!$A$2:$A$1093,0)),"")</f>
        <v/>
      </c>
      <c r="I13" s="9" t="n"/>
      <c r="J13" s="7" t="inlineStr">
        <is>
          <t>Standard</t>
        </is>
      </c>
      <c r="K13" s="7" t="n"/>
      <c r="L13" s="30">
        <f>IF($C13="","",IFERROR(INDEX('03 НАВЫКИ'!$I$5:$I$76,MATCH($E13,'03 НАВЫКИ'!$C$5:$C$76,0))+IF($J13="Excellent",1,IF($J13="Poor",-1,0)),0))</f>
        <v/>
      </c>
      <c r="M13" s="9" t="n"/>
    </row>
    <row r="14" ht="18" customHeight="1">
      <c r="B14" s="31" t="n">
        <v>6</v>
      </c>
      <c r="C14" s="9" t="n"/>
      <c r="D14" s="22">
        <f>IFERROR(INDEX('КАТАЛОГ'!$C$2:$C$1093,MATCH($C14,'КАТАЛОГ'!$A$2:$A$1093,0)),"")</f>
        <v/>
      </c>
      <c r="E14" s="22">
        <f>IFERROR(INDEX('КАТАЛОГ'!$D$2:$D$1093,MATCH($C14,'КАТАЛОГ'!$A$2:$A$1093,0)),"")</f>
        <v/>
      </c>
      <c r="F14" s="30">
        <f>IFERROR(INDEX('КАТАЛОГ'!$E$2:$E$1093,MATCH($C14,'КАТАЛОГ'!$A$2:$A$1093,0)),"")</f>
        <v/>
      </c>
      <c r="G14" s="30">
        <f>IFERROR(INDEX('КАТАЛОГ'!$F$2:$F$1093,MATCH($C14,'КАТАЛОГ'!$A$2:$A$1093,0)),"")</f>
        <v/>
      </c>
      <c r="H14" s="30">
        <f>IFERROR(INDEX('КАТАЛОГ'!$G$2:$G$1093,MATCH($C14,'КАТАЛОГ'!$A$2:$A$1093,0)),"")</f>
        <v/>
      </c>
      <c r="I14" s="9" t="n"/>
      <c r="J14" s="7" t="inlineStr">
        <is>
          <t>Standard</t>
        </is>
      </c>
      <c r="K14" s="7" t="n"/>
      <c r="L14" s="30">
        <f>IF($C14="","",IFERROR(INDEX('03 НАВЫКИ'!$I$5:$I$76,MATCH($E14,'03 НАВЫКИ'!$C$5:$C$76,0))+IF($J14="Excellent",1,IF($J14="Poor",-1,0)),0))</f>
        <v/>
      </c>
      <c r="M14" s="9" t="n"/>
    </row>
    <row r="15" ht="18" customHeight="1">
      <c r="B15" s="31" t="n">
        <v>7</v>
      </c>
      <c r="C15" s="9" t="n"/>
      <c r="D15" s="22">
        <f>IFERROR(INDEX('КАТАЛОГ'!$C$2:$C$1093,MATCH($C15,'КАТАЛОГ'!$A$2:$A$1093,0)),"")</f>
        <v/>
      </c>
      <c r="E15" s="22">
        <f>IFERROR(INDEX('КАТАЛОГ'!$D$2:$D$1093,MATCH($C15,'КАТАЛОГ'!$A$2:$A$1093,0)),"")</f>
        <v/>
      </c>
      <c r="F15" s="30">
        <f>IFERROR(INDEX('КАТАЛОГ'!$E$2:$E$1093,MATCH($C15,'КАТАЛОГ'!$A$2:$A$1093,0)),"")</f>
        <v/>
      </c>
      <c r="G15" s="30">
        <f>IFERROR(INDEX('КАТАЛОГ'!$F$2:$F$1093,MATCH($C15,'КАТАЛОГ'!$A$2:$A$1093,0)),"")</f>
        <v/>
      </c>
      <c r="H15" s="30">
        <f>IFERROR(INDEX('КАТАЛОГ'!$G$2:$G$1093,MATCH($C15,'КАТАЛОГ'!$A$2:$A$1093,0)),"")</f>
        <v/>
      </c>
      <c r="I15" s="9" t="n"/>
      <c r="J15" s="7" t="inlineStr">
        <is>
          <t>Standard</t>
        </is>
      </c>
      <c r="K15" s="7" t="n"/>
      <c r="L15" s="30">
        <f>IF($C15="","",IFERROR(INDEX('03 НАВЫКИ'!$I$5:$I$76,MATCH($E15,'03 НАВЫКИ'!$C$5:$C$76,0))+IF($J15="Excellent",1,IF($J15="Poor",-1,0)),0))</f>
        <v/>
      </c>
      <c r="M15" s="9" t="n"/>
    </row>
    <row r="16" ht="18" customHeight="1">
      <c r="B16" s="31" t="n">
        <v>8</v>
      </c>
      <c r="C16" s="9" t="n"/>
      <c r="D16" s="22">
        <f>IFERROR(INDEX('КАТАЛОГ'!$C$2:$C$1093,MATCH($C16,'КАТАЛОГ'!$A$2:$A$1093,0)),"")</f>
        <v/>
      </c>
      <c r="E16" s="22">
        <f>IFERROR(INDEX('КАТАЛОГ'!$D$2:$D$1093,MATCH($C16,'КАТАЛОГ'!$A$2:$A$1093,0)),"")</f>
        <v/>
      </c>
      <c r="F16" s="30">
        <f>IFERROR(INDEX('КАТАЛОГ'!$E$2:$E$1093,MATCH($C16,'КАТАЛОГ'!$A$2:$A$1093,0)),"")</f>
        <v/>
      </c>
      <c r="G16" s="30">
        <f>IFERROR(INDEX('КАТАЛОГ'!$F$2:$F$1093,MATCH($C16,'КАТАЛОГ'!$A$2:$A$1093,0)),"")</f>
        <v/>
      </c>
      <c r="H16" s="30">
        <f>IFERROR(INDEX('КАТАЛОГ'!$G$2:$G$1093,MATCH($C16,'КАТАЛОГ'!$A$2:$A$1093,0)),"")</f>
        <v/>
      </c>
      <c r="I16" s="9" t="n"/>
      <c r="J16" s="7" t="inlineStr">
        <is>
          <t>Standard</t>
        </is>
      </c>
      <c r="K16" s="7" t="n"/>
      <c r="L16" s="30">
        <f>IF($C16="","",IFERROR(INDEX('03 НАВЫКИ'!$I$5:$I$76,MATCH($E16,'03 НАВЫКИ'!$C$5:$C$76,0))+IF($J16="Excellent",1,IF($J16="Poor",-1,0)),0))</f>
        <v/>
      </c>
      <c r="M16" s="9" t="n"/>
    </row>
    <row r="17">
      <c r="B17" s="6" t="inlineStr">
        <is>
          <t>Атака = 1d10 + «БАЗА АТАКИ» (это уровень навыка + стата с учётом штрафа брони). Патроны пиши прямо тут: «AP ×24», «Basic ×30».</t>
        </is>
      </c>
    </row>
    <row r="18">
      <c r="B18" s="6" t="inlineStr">
        <is>
          <t>УЧЁТ ДЕНЕГ: траты считаются из блока Ⅲ «ИНВЕНТАРЬ» — оружие, патроны и снаряжение впиши и сюда (для игры), и туда (для бюджета). Броня считается из блока Ⅱ (цена в колонке N, в бюджет — O), хром — с листа 04. Броню и хром в инвентарь дублировать НЕ надо: иначе они посчитаются дважды.</t>
        </is>
      </c>
    </row>
    <row r="19">
      <c r="B19" s="17" t="inlineStr">
        <is>
          <t>Ⅱ · БРОНЯ И ЩИТ  ·  В ЛОКАЦИИ РАБОТАЕТ ТОЛЬКО ЛУЧШИЙ SP, ШТРАФ БЕРЁТСЯ ОДИН РАЗ  ·  ЦЕНА И УЧЁТ В БЮДЖЕТЕ — КОЛОНКИ N И O</t>
        </is>
      </c>
    </row>
    <row r="20">
      <c r="B20" s="20" t="inlineStr">
        <is>
          <t>№</t>
        </is>
      </c>
      <c r="C20" s="20" t="inlineStr">
        <is>
          <t>НАЗВАНИЕ</t>
        </is>
      </c>
      <c r="D20" s="20" t="inlineStr">
        <is>
          <t>ЛОКАЦИЯ</t>
        </is>
      </c>
      <c r="E20" s="20" t="inlineStr">
        <is>
          <t>НАДЕТО</t>
        </is>
      </c>
      <c r="F20" s="20" t="inlineStr">
        <is>
          <t>SP</t>
        </is>
      </c>
      <c r="G20" s="20" t="inlineStr">
        <is>
          <t>HP (ЩИТ)</t>
        </is>
      </c>
      <c r="H20" s="20" t="inlineStr">
        <is>
          <t>ШТРАФ REF</t>
        </is>
      </c>
      <c r="I20" s="20" t="inlineStr">
        <is>
          <t>ШТРАФ DEX</t>
        </is>
      </c>
      <c r="J20" s="20" t="inlineStr">
        <is>
          <t>ШТРАФ MOVE</t>
        </is>
      </c>
      <c r="K20" s="20" t="inlineStr">
        <is>
          <t>SP СЕЙЧАС</t>
        </is>
      </c>
      <c r="L20" s="20" t="inlineStr">
        <is>
          <t>ЭФФ. SP</t>
        </is>
      </c>
      <c r="M20" s="20" t="inlineStr">
        <is>
          <t>ЗАМЕТКИ</t>
        </is>
      </c>
      <c r="N20" s="20" t="inlineStr">
        <is>
          <t>ЦЕНА €$</t>
        </is>
      </c>
      <c r="O20" s="20" t="inlineStr">
        <is>
          <t>В БЮДЖЕТ €$</t>
        </is>
      </c>
    </row>
    <row r="21" ht="18" customHeight="1">
      <c r="B21" s="31" t="n">
        <v>1</v>
      </c>
      <c r="C21" s="9" t="inlineStr">
        <is>
          <t>Light Armorjack</t>
        </is>
      </c>
      <c r="D21" s="7" t="inlineStr">
        <is>
          <t>Тело</t>
        </is>
      </c>
      <c r="E21" s="7" t="inlineStr">
        <is>
          <t>Да</t>
        </is>
      </c>
      <c r="F21" s="30">
        <f>IFERROR(INDEX('КАТАЛОГ'!$H$2:$H$1093,MATCH($C21,'КАТАЛОГ'!$A$2:$A$1093,0)),0)</f>
        <v/>
      </c>
      <c r="G21" s="30">
        <f>IFERROR(INDEX('КАТАЛОГ'!$I$2:$I$1093,MATCH($C21,'КАТАЛОГ'!$A$2:$A$1093,0)),0)</f>
        <v/>
      </c>
      <c r="H21" s="30">
        <f>IFERROR(INDEX('КАТАЛОГ'!$J$2:$J$1093,MATCH($C21,'КАТАЛОГ'!$A$2:$A$1093,0)),0)</f>
        <v/>
      </c>
      <c r="I21" s="30">
        <f>IFERROR(INDEX('КАТАЛОГ'!$K$2:$K$1093,MATCH($C21,'КАТАЛОГ'!$A$2:$A$1093,0)),0)</f>
        <v/>
      </c>
      <c r="J21" s="30">
        <f>IFERROR(INDEX('КАТАЛОГ'!$L$2:$L$1093,MATCH($C21,'КАТАЛОГ'!$A$2:$A$1093,0)),0)</f>
        <v/>
      </c>
      <c r="K21" s="7" t="n"/>
      <c r="L21" s="30">
        <f>IF($E21&lt;&gt;"Да",0,IF($K21&lt;&gt;"",$K21,$F21))</f>
        <v/>
      </c>
      <c r="M21" s="9" t="inlineStr">
        <is>
          <t>SP 11, штрафа нет — уклонение работает</t>
        </is>
      </c>
      <c r="N21" s="40">
        <f>IF($C21="",0,IFERROR(INDEX('КАТАЛОГ'!$R$2:$R$1093,MATCH($C21,'КАТАЛОГ'!$A$2:$A$1093,0)),0))</f>
        <v/>
      </c>
      <c r="O21" s="40">
        <f>IF($C21="",0,IF(COUNTIF($C$34:$C$53,$C21)&gt;0,0,$N21))</f>
        <v/>
      </c>
    </row>
    <row r="22" ht="18" customHeight="1">
      <c r="B22" s="31" t="n">
        <v>2</v>
      </c>
      <c r="C22" s="9" t="inlineStr">
        <is>
          <t>Light Armorjack</t>
        </is>
      </c>
      <c r="D22" s="7" t="inlineStr">
        <is>
          <t>Голова</t>
        </is>
      </c>
      <c r="E22" s="7" t="inlineStr">
        <is>
          <t>Да</t>
        </is>
      </c>
      <c r="F22" s="30">
        <f>IFERROR(INDEX('КАТАЛОГ'!$H$2:$H$1093,MATCH($C22,'КАТАЛОГ'!$A$2:$A$1093,0)),0)</f>
        <v/>
      </c>
      <c r="G22" s="30">
        <f>IFERROR(INDEX('КАТАЛОГ'!$I$2:$I$1093,MATCH($C22,'КАТАЛОГ'!$A$2:$A$1093,0)),0)</f>
        <v/>
      </c>
      <c r="H22" s="30">
        <f>IFERROR(INDEX('КАТАЛОГ'!$J$2:$J$1093,MATCH($C22,'КАТАЛОГ'!$A$2:$A$1093,0)),0)</f>
        <v/>
      </c>
      <c r="I22" s="30">
        <f>IFERROR(INDEX('КАТАЛОГ'!$K$2:$K$1093,MATCH($C22,'КАТАЛОГ'!$A$2:$A$1093,0)),0)</f>
        <v/>
      </c>
      <c r="J22" s="30">
        <f>IFERROR(INDEX('КАТАЛОГ'!$L$2:$L$1093,MATCH($C22,'КАТАЛОГ'!$A$2:$A$1093,0)),0)</f>
        <v/>
      </c>
      <c r="K22" s="7" t="n"/>
      <c r="L22" s="30">
        <f>IF($E22&lt;&gt;"Да",0,IF($K22&lt;&gt;"",$K22,$F22))</f>
        <v/>
      </c>
      <c r="M22" s="9" t="inlineStr">
        <is>
          <t>Покупается отдельно на голову</t>
        </is>
      </c>
      <c r="N22" s="40">
        <f>IF($C22="",0,IFERROR(INDEX('КАТАЛОГ'!$R$2:$R$1093,MATCH($C22,'КАТАЛОГ'!$A$2:$A$1093,0)),0))</f>
        <v/>
      </c>
      <c r="O22" s="40">
        <f>IF($C22="",0,IF(COUNTIF($C$34:$C$53,$C22)&gt;0,0,$N22))</f>
        <v/>
      </c>
    </row>
    <row r="23" ht="18" customHeight="1">
      <c r="B23" s="31" t="n">
        <v>3</v>
      </c>
      <c r="C23" s="9" t="inlineStr">
        <is>
          <t>Bulletproof Shield</t>
        </is>
      </c>
      <c r="D23" s="7" t="inlineStr">
        <is>
          <t>Щит</t>
        </is>
      </c>
      <c r="E23" s="7" t="inlineStr">
        <is>
          <t>Да</t>
        </is>
      </c>
      <c r="F23" s="30">
        <f>IFERROR(INDEX('КАТАЛОГ'!$H$2:$H$1093,MATCH($C23,'КАТАЛОГ'!$A$2:$A$1093,0)),0)</f>
        <v/>
      </c>
      <c r="G23" s="30">
        <f>IFERROR(INDEX('КАТАЛОГ'!$I$2:$I$1093,MATCH($C23,'КАТАЛОГ'!$A$2:$A$1093,0)),0)</f>
        <v/>
      </c>
      <c r="H23" s="30">
        <f>IFERROR(INDEX('КАТАЛОГ'!$J$2:$J$1093,MATCH($C23,'КАТАЛОГ'!$A$2:$A$1093,0)),0)</f>
        <v/>
      </c>
      <c r="I23" s="30">
        <f>IFERROR(INDEX('КАТАЛОГ'!$K$2:$K$1093,MATCH($C23,'КАТАЛОГ'!$A$2:$A$1093,0)),0)</f>
        <v/>
      </c>
      <c r="J23" s="30">
        <f>IFERROR(INDEX('КАТАЛОГ'!$L$2:$L$1093,MATCH($C23,'КАТАЛОГ'!$A$2:$A$1093,0)),0)</f>
        <v/>
      </c>
      <c r="K23" s="7" t="n"/>
      <c r="L23" s="30">
        <f>IF($E23&lt;&gt;"Да",0,IF($K23&lt;&gt;"",$K23,$F23))</f>
        <v/>
      </c>
      <c r="M23" s="9" t="inlineStr">
        <is>
          <t>Подвижное укрытие: принимает весь урон в свои HP</t>
        </is>
      </c>
      <c r="N23" s="40">
        <f>IF($C23="",0,IFERROR(INDEX('КАТАЛОГ'!$R$2:$R$1093,MATCH($C23,'КАТАЛОГ'!$A$2:$A$1093,0)),0))</f>
        <v/>
      </c>
      <c r="O23" s="40">
        <f>IF($C23="",0,IF(COUNTIF($C$34:$C$53,$C23)&gt;0,0,$N23))</f>
        <v/>
      </c>
    </row>
    <row r="24" ht="18" customHeight="1">
      <c r="B24" s="31" t="n">
        <v>4</v>
      </c>
      <c r="C24" s="9" t="n"/>
      <c r="D24" s="7" t="inlineStr">
        <is>
          <t>Тело</t>
        </is>
      </c>
      <c r="E24" s="7" t="inlineStr">
        <is>
          <t>Нет</t>
        </is>
      </c>
      <c r="F24" s="30">
        <f>IFERROR(INDEX('КАТАЛОГ'!$H$2:$H$1093,MATCH($C24,'КАТАЛОГ'!$A$2:$A$1093,0)),0)</f>
        <v/>
      </c>
      <c r="G24" s="30">
        <f>IFERROR(INDEX('КАТАЛОГ'!$I$2:$I$1093,MATCH($C24,'КАТАЛОГ'!$A$2:$A$1093,0)),0)</f>
        <v/>
      </c>
      <c r="H24" s="30">
        <f>IFERROR(INDEX('КАТАЛОГ'!$J$2:$J$1093,MATCH($C24,'КАТАЛОГ'!$A$2:$A$1093,0)),0)</f>
        <v/>
      </c>
      <c r="I24" s="30">
        <f>IFERROR(INDEX('КАТАЛОГ'!$K$2:$K$1093,MATCH($C24,'КАТАЛОГ'!$A$2:$A$1093,0)),0)</f>
        <v/>
      </c>
      <c r="J24" s="30">
        <f>IFERROR(INDEX('КАТАЛОГ'!$L$2:$L$1093,MATCH($C24,'КАТАЛОГ'!$A$2:$A$1093,0)),0)</f>
        <v/>
      </c>
      <c r="K24" s="7" t="n"/>
      <c r="L24" s="30">
        <f>IF($E24&lt;&gt;"Да",0,IF($K24&lt;&gt;"",$K24,$F24))</f>
        <v/>
      </c>
      <c r="M24" s="9" t="n"/>
      <c r="N24" s="40">
        <f>IF($C24="",0,IFERROR(INDEX('КАТАЛОГ'!$R$2:$R$1093,MATCH($C24,'КАТАЛОГ'!$A$2:$A$1093,0)),0))</f>
        <v/>
      </c>
      <c r="O24" s="40">
        <f>IF($C24="",0,IF(COUNTIF($C$34:$C$53,$C24)&gt;0,0,$N24))</f>
        <v/>
      </c>
    </row>
    <row r="25" ht="18" customHeight="1">
      <c r="B25" s="31" t="n">
        <v>5</v>
      </c>
      <c r="C25" s="9" t="n"/>
      <c r="D25" s="7" t="inlineStr">
        <is>
          <t>Тело</t>
        </is>
      </c>
      <c r="E25" s="7" t="inlineStr">
        <is>
          <t>Нет</t>
        </is>
      </c>
      <c r="F25" s="30">
        <f>IFERROR(INDEX('КАТАЛОГ'!$H$2:$H$1093,MATCH($C25,'КАТАЛОГ'!$A$2:$A$1093,0)),0)</f>
        <v/>
      </c>
      <c r="G25" s="30">
        <f>IFERROR(INDEX('КАТАЛОГ'!$I$2:$I$1093,MATCH($C25,'КАТАЛОГ'!$A$2:$A$1093,0)),0)</f>
        <v/>
      </c>
      <c r="H25" s="30">
        <f>IFERROR(INDEX('КАТАЛОГ'!$J$2:$J$1093,MATCH($C25,'КАТАЛОГ'!$A$2:$A$1093,0)),0)</f>
        <v/>
      </c>
      <c r="I25" s="30">
        <f>IFERROR(INDEX('КАТАЛОГ'!$K$2:$K$1093,MATCH($C25,'КАТАЛОГ'!$A$2:$A$1093,0)),0)</f>
        <v/>
      </c>
      <c r="J25" s="30">
        <f>IFERROR(INDEX('КАТАЛОГ'!$L$2:$L$1093,MATCH($C25,'КАТАЛОГ'!$A$2:$A$1093,0)),0)</f>
        <v/>
      </c>
      <c r="K25" s="7" t="n"/>
      <c r="L25" s="30">
        <f>IF($E25&lt;&gt;"Да",0,IF($K25&lt;&gt;"",$K25,$F25))</f>
        <v/>
      </c>
      <c r="M25" s="9" t="n"/>
      <c r="N25" s="40">
        <f>IF($C25="",0,IFERROR(INDEX('КАТАЛОГ'!$R$2:$R$1093,MATCH($C25,'КАТАЛОГ'!$A$2:$A$1093,0)),0))</f>
        <v/>
      </c>
      <c r="O25" s="40">
        <f>IF($C25="",0,IF(COUNTIF($C$34:$C$53,$C25)&gt;0,0,$N25))</f>
        <v/>
      </c>
    </row>
    <row r="26" ht="18" customHeight="1">
      <c r="B26" s="31" t="n">
        <v>6</v>
      </c>
      <c r="C26" s="9" t="n"/>
      <c r="D26" s="7" t="inlineStr">
        <is>
          <t>Тело</t>
        </is>
      </c>
      <c r="E26" s="7" t="inlineStr">
        <is>
          <t>Нет</t>
        </is>
      </c>
      <c r="F26" s="30">
        <f>IFERROR(INDEX('КАТАЛОГ'!$H$2:$H$1093,MATCH($C26,'КАТАЛОГ'!$A$2:$A$1093,0)),0)</f>
        <v/>
      </c>
      <c r="G26" s="30">
        <f>IFERROR(INDEX('КАТАЛОГ'!$I$2:$I$1093,MATCH($C26,'КАТАЛОГ'!$A$2:$A$1093,0)),0)</f>
        <v/>
      </c>
      <c r="H26" s="30">
        <f>IFERROR(INDEX('КАТАЛОГ'!$J$2:$J$1093,MATCH($C26,'КАТАЛОГ'!$A$2:$A$1093,0)),0)</f>
        <v/>
      </c>
      <c r="I26" s="30">
        <f>IFERROR(INDEX('КАТАЛОГ'!$K$2:$K$1093,MATCH($C26,'КАТАЛОГ'!$A$2:$A$1093,0)),0)</f>
        <v/>
      </c>
      <c r="J26" s="30">
        <f>IFERROR(INDEX('КАТАЛОГ'!$L$2:$L$1093,MATCH($C26,'КАТАЛОГ'!$A$2:$A$1093,0)),0)</f>
        <v/>
      </c>
      <c r="K26" s="7" t="n"/>
      <c r="L26" s="30">
        <f>IF($E26&lt;&gt;"Да",0,IF($K26&lt;&gt;"",$K26,$F26))</f>
        <v/>
      </c>
      <c r="M26" s="9" t="n"/>
      <c r="N26" s="40">
        <f>IF($C26="",0,IFERROR(INDEX('КАТАЛОГ'!$R$2:$R$1093,MATCH($C26,'КАТАЛОГ'!$A$2:$A$1093,0)),0))</f>
        <v/>
      </c>
      <c r="O26" s="40">
        <f>IF($C26="",0,IF(COUNTIF($C$34:$C$53,$C26)&gt;0,0,$N26))</f>
        <v/>
      </c>
    </row>
    <row r="27" ht="18" customHeight="1">
      <c r="B27" s="8" t="inlineStr">
        <is>
          <t>SP ГОЛОВЫ (НАДЕТОЕ)</t>
        </is>
      </c>
      <c r="C27" s="19" t="n"/>
      <c r="D27" s="30">
        <f>SUMPRODUCT(MAX(($D$21:$D$26="Голова")*($E$21:$E$26="Да")*$L$21:$L$26))</f>
        <v/>
      </c>
      <c r="E27" s="21" t="inlineStr">
        <is>
          <t>Работает лучший SP в локации — второй слой не складывается.</t>
        </is>
      </c>
      <c r="F27" s="18" t="n"/>
      <c r="G27" s="18" t="n"/>
      <c r="H27" s="18" t="n"/>
      <c r="I27" s="18" t="n"/>
      <c r="J27" s="18" t="n"/>
      <c r="K27" s="18" t="n"/>
      <c r="L27" s="18" t="n"/>
      <c r="M27" s="19" t="n"/>
    </row>
    <row r="28" ht="18" customHeight="1">
      <c r="B28" s="8" t="inlineStr">
        <is>
          <t>SP ТЕЛА (НАДЕТОЕ)</t>
        </is>
      </c>
      <c r="C28" s="19" t="n"/>
      <c r="D28" s="30">
        <f>SUMPRODUCT(MAX(($D$21:$D$26="Тело")*($E$21:$E$26="Да")*$L$21:$L$26))</f>
        <v/>
      </c>
      <c r="E28" s="21" t="inlineStr">
        <is>
          <t>Вся надетая броня локации аблейтится одновременно (−1 за каждое попадание).</t>
        </is>
      </c>
      <c r="F28" s="18" t="n"/>
      <c r="G28" s="18" t="n"/>
      <c r="H28" s="18" t="n"/>
      <c r="I28" s="18" t="n"/>
      <c r="J28" s="18" t="n"/>
      <c r="K28" s="18" t="n"/>
      <c r="L28" s="18" t="n"/>
      <c r="M28" s="19" t="n"/>
    </row>
    <row r="29" ht="18" customHeight="1">
      <c r="B29" s="8" t="inlineStr">
        <is>
          <t>ЩИТ: HP</t>
        </is>
      </c>
      <c r="C29" s="19" t="n"/>
      <c r="D29" s="30">
        <f>SUMPRODUCT(MAX(($D$21:$D$26="Щит")*($E$21:$E$26="Да")*$G$21:$G$26))</f>
        <v/>
      </c>
      <c r="E29" s="21" t="inlineStr">
        <is>
          <t>Обычный щит 10 HP, усиленный 15 HP. Взять/бросить — Действие.</t>
        </is>
      </c>
      <c r="F29" s="18" t="n"/>
      <c r="G29" s="18" t="n"/>
      <c r="H29" s="18" t="n"/>
      <c r="I29" s="18" t="n"/>
      <c r="J29" s="18" t="n"/>
      <c r="K29" s="18" t="n"/>
      <c r="L29" s="18" t="n"/>
      <c r="M29" s="19" t="n"/>
    </row>
    <row r="30">
      <c r="B30" s="8" t="inlineStr">
        <is>
          <t>ШТРАФ БРОНИ REF / DEX / MOVE (ПОЛОЖИТЕЛЬНЫЙ)</t>
        </is>
      </c>
      <c r="C30" s="19" t="n"/>
      <c r="D30" s="30">
        <f>-SUMPRODUCT(MIN(($E$21:$E$26="Да")*$H$21:$H$26))</f>
        <v/>
      </c>
      <c r="E30" s="30">
        <f>-SUMPRODUCT(MIN(($E$21:$E$26="Да")*$I$21:$I$26))</f>
        <v/>
      </c>
      <c r="F30" s="30">
        <f>-SUMPRODUCT(MIN(($E$21:$E$26="Да")*$J$21:$J$26))</f>
        <v/>
      </c>
      <c r="G30" s="6" t="inlineStr">
        <is>
          <t>Самый строгий штраф из надетого, применяется один раз — он уже вычтен из REF/DEX/MOVE на листе 02. Хочешь ослабить броню — снимай вещи, а не правь эти цифры.</t>
        </is>
      </c>
    </row>
    <row r="32">
      <c r="B32" s="17" t="inlineStr">
        <is>
          <t>Ⅲ · ИНВЕНТАРЬ  ·  СУММЫ ОТСЮДА ИДУТ В ОБА БЮДЖЕТА ВМЕСТЕ С БРОНЁЙ (Ⅱ) И ХРОМОМ (ЛИСТ 04)</t>
        </is>
      </c>
    </row>
    <row r="33">
      <c r="B33" s="20" t="inlineStr">
        <is>
          <t>№</t>
        </is>
      </c>
      <c r="C33" s="20" t="inlineStr">
        <is>
          <t>НАЗВАНИЕ</t>
        </is>
      </c>
      <c r="D33" s="20" t="inlineStr">
        <is>
          <t>КАТЕГОРИЯ</t>
        </is>
      </c>
      <c r="E33" s="20" t="inlineStr">
        <is>
          <t>ПОДТИП</t>
        </is>
      </c>
      <c r="F33" s="20" t="inlineStr">
        <is>
          <t>КОЛ-ВО</t>
        </is>
      </c>
      <c r="G33" s="20" t="inlineStr">
        <is>
          <t>ЦЕНА €$</t>
        </is>
      </c>
      <c r="H33" s="20" t="inlineStr">
        <is>
          <t>ЦЕНА СВОЯ</t>
        </is>
      </c>
      <c r="I33" s="20" t="inlineStr">
        <is>
          <t>СУММА</t>
        </is>
      </c>
      <c r="J33" s="20" t="inlineStr">
        <is>
          <t>ГДЕ НОСИТ</t>
        </is>
      </c>
      <c r="K33" s="20" t="inlineStr">
        <is>
          <t>ЗАМЕТКА</t>
        </is>
      </c>
      <c r="M33" s="20" t="inlineStr">
        <is>
          <t>ОПИСАНИЕ ИЗ КАТАЛОГА</t>
        </is>
      </c>
    </row>
    <row r="34" ht="18" customHeight="1">
      <c r="B34" s="31" t="n">
        <v>1</v>
      </c>
      <c r="C34" s="9" t="inlineStr">
        <is>
          <t>Con Arms Unity</t>
        </is>
      </c>
      <c r="D34" s="22">
        <f>IFERROR(INDEX('КАТАЛОГ'!$B$2:$B$1093,MATCH($C34,'КАТАЛОГ'!$A$2:$A$1093,0)),"")</f>
        <v/>
      </c>
      <c r="E34" s="22">
        <f>IFERROR(INDEX('КАТАЛОГ'!$C$2:$C$1093,MATCH($C34,'КАТАЛОГ'!$A$2:$A$1093,0)),"")</f>
        <v/>
      </c>
      <c r="F34" s="7" t="n"/>
      <c r="G34" s="40">
        <f>IFERROR(INDEX('КАТАЛОГ'!$R$2:$R$1093,MATCH($C34,'КАТАЛОГ'!$A$2:$A$1093,0)),"")</f>
        <v/>
      </c>
      <c r="H34" s="41" t="n"/>
      <c r="I34" s="40">
        <f>IF($C34="",0,IF($H34&lt;&gt;"",$H34,IF(ISNUMBER($G34),$G34,0))*IF($F34="",1,$F34))</f>
        <v/>
      </c>
      <c r="J34" s="9" t="inlineStr">
        <is>
          <t>в кобуре</t>
        </is>
      </c>
      <c r="K34" s="9" t="n"/>
      <c r="L34" s="19" t="n"/>
      <c r="M34" s="21">
        <f>IFERROR(LEFT(INDEX('КАТАЛОГ'!$T$2:$T$1093,MATCH($C34,'КАТАЛОГ'!$A$2:$A$1093,0)),90),"")</f>
        <v/>
      </c>
    </row>
    <row r="35" ht="18" customHeight="1">
      <c r="B35" s="31" t="n">
        <v>2</v>
      </c>
      <c r="C35" s="9" t="inlineStr">
        <is>
          <t>Rostović DB-2 Satara</t>
        </is>
      </c>
      <c r="D35" s="22">
        <f>IFERROR(INDEX('КАТАЛОГ'!$B$2:$B$1093,MATCH($C35,'КАТАЛОГ'!$A$2:$A$1093,0)),"")</f>
        <v/>
      </c>
      <c r="E35" s="22">
        <f>IFERROR(INDEX('КАТАЛОГ'!$C$2:$C$1093,MATCH($C35,'КАТАЛОГ'!$A$2:$A$1093,0)),"")</f>
        <v/>
      </c>
      <c r="F35" s="7" t="n"/>
      <c r="G35" s="40">
        <f>IFERROR(INDEX('КАТАЛОГ'!$R$2:$R$1093,MATCH($C35,'КАТАЛОГ'!$A$2:$A$1093,0)),"")</f>
        <v/>
      </c>
      <c r="H35" s="41" t="n"/>
      <c r="I35" s="40">
        <f>IF($C35="",0,IF($H35&lt;&gt;"",$H35,IF(ISNUMBER($G35),$G35,0))*IF($F35="",1,$F35))</f>
        <v/>
      </c>
      <c r="J35" s="9" t="inlineStr">
        <is>
          <t>за спиной / в машине</t>
        </is>
      </c>
      <c r="K35" s="9" t="n"/>
      <c r="L35" s="19" t="n"/>
      <c r="M35" s="21">
        <f>IFERROR(LEFT(INDEX('КАТАЛОГ'!$T$2:$T$1093,MATCH($C35,'КАТАЛОГ'!$A$2:$A$1093,0)),90),"")</f>
        <v/>
      </c>
    </row>
    <row r="36" ht="18" customHeight="1">
      <c r="B36" s="31" t="n">
        <v>3</v>
      </c>
      <c r="C36" s="9" t="inlineStr">
        <is>
          <t>Handcuffs</t>
        </is>
      </c>
      <c r="D36" s="22">
        <f>IFERROR(INDEX('КАТАЛОГ'!$B$2:$B$1093,MATCH($C36,'КАТАЛОГ'!$A$2:$A$1093,0)),"")</f>
        <v/>
      </c>
      <c r="E36" s="22">
        <f>IFERROR(INDEX('КАТАЛОГ'!$C$2:$C$1093,MATCH($C36,'КАТАЛОГ'!$A$2:$A$1093,0)),"")</f>
        <v/>
      </c>
      <c r="F36" s="7" t="n"/>
      <c r="G36" s="40">
        <f>IFERROR(INDEX('КАТАЛОГ'!$R$2:$R$1093,MATCH($C36,'КАТАЛОГ'!$A$2:$A$1093,0)),"")</f>
        <v/>
      </c>
      <c r="H36" s="41" t="n"/>
      <c r="I36" s="40">
        <f>IF($C36="",0,IF($H36&lt;&gt;"",$H36,IF(ISNUMBER($G36),$G36,0))*IF($F36="",1,$F36))</f>
        <v/>
      </c>
      <c r="J36" s="9" t="inlineStr">
        <is>
          <t>на поясе</t>
        </is>
      </c>
      <c r="K36" s="9" t="n"/>
      <c r="L36" s="19" t="n"/>
      <c r="M36" s="21">
        <f>IFERROR(LEFT(INDEX('КАТАЛОГ'!$T$2:$T$1093,MATCH($C36,'КАТАЛОГ'!$A$2:$A$1093,0)),90),"")</f>
        <v/>
      </c>
    </row>
    <row r="37" ht="18" customHeight="1">
      <c r="B37" s="31" t="n">
        <v>4</v>
      </c>
      <c r="C37" s="9" t="inlineStr">
        <is>
          <t>Basic</t>
        </is>
      </c>
      <c r="D37" s="22">
        <f>IFERROR(INDEX('КАТАЛОГ'!$B$2:$B$1093,MATCH($C37,'КАТАЛОГ'!$A$2:$A$1093,0)),"")</f>
        <v/>
      </c>
      <c r="E37" s="22">
        <f>IFERROR(INDEX('КАТАЛОГ'!$C$2:$C$1093,MATCH($C37,'КАТАЛОГ'!$A$2:$A$1093,0)),"")</f>
        <v/>
      </c>
      <c r="F37" s="7" t="n">
        <v>6</v>
      </c>
      <c r="G37" s="40">
        <f>IFERROR(INDEX('КАТАЛОГ'!$R$2:$R$1093,MATCH($C37,'КАТАЛОГ'!$A$2:$A$1093,0)),"")</f>
        <v/>
      </c>
      <c r="H37" s="41" t="n"/>
      <c r="I37" s="40">
        <f>IF($C37="",0,IF($H37&lt;&gt;"",$H37,IF(ISNUMBER($G37),$G37,0))*IF($F37="",1,$F37))</f>
        <v/>
      </c>
      <c r="J37" s="9" t="inlineStr">
        <is>
          <t>подсумок</t>
        </is>
      </c>
      <c r="K37" s="9" t="inlineStr">
        <is>
          <t>40 пистолетных + 20 картечи</t>
        </is>
      </c>
      <c r="L37" s="19" t="n"/>
      <c r="M37" s="21">
        <f>IFERROR(LEFT(INDEX('КАТАЛОГ'!$T$2:$T$1093,MATCH($C37,'КАТАЛОГ'!$A$2:$A$1093,0)),90),"")</f>
        <v/>
      </c>
    </row>
    <row r="38" ht="18" customHeight="1">
      <c r="B38" s="31" t="n">
        <v>5</v>
      </c>
      <c r="C38" s="9" t="inlineStr">
        <is>
          <t>Agent (Standard)</t>
        </is>
      </c>
      <c r="D38" s="22">
        <f>IFERROR(INDEX('КАТАЛОГ'!$B$2:$B$1093,MATCH($C38,'КАТАЛОГ'!$A$2:$A$1093,0)),"")</f>
        <v/>
      </c>
      <c r="E38" s="22">
        <f>IFERROR(INDEX('КАТАЛОГ'!$C$2:$C$1093,MATCH($C38,'КАТАЛОГ'!$A$2:$A$1093,0)),"")</f>
        <v/>
      </c>
      <c r="F38" s="7" t="n"/>
      <c r="G38" s="40">
        <f>IFERROR(INDEX('КАТАЛОГ'!$R$2:$R$1093,MATCH($C38,'КАТАЛОГ'!$A$2:$A$1093,0)),"")</f>
        <v/>
      </c>
      <c r="H38" s="41" t="n"/>
      <c r="I38" s="40">
        <f>IF($C38="",0,IF($H38&lt;&gt;"",$H38,IF(ISNUMBER($G38),$G38,0))*IF($F38="",1,$F38))</f>
        <v/>
      </c>
      <c r="J38" s="9" t="inlineStr">
        <is>
          <t>карман</t>
        </is>
      </c>
      <c r="K38" s="9" t="n"/>
      <c r="L38" s="19" t="n"/>
      <c r="M38" s="21">
        <f>IFERROR(LEFT(INDEX('КАТАЛОГ'!$T$2:$T$1093,MATCH($C38,'КАТАЛОГ'!$A$2:$A$1093,0)),90),"")</f>
        <v/>
      </c>
    </row>
    <row r="39" ht="18" customHeight="1">
      <c r="B39" s="31" t="n">
        <v>6</v>
      </c>
      <c r="C39" s="9" t="inlineStr">
        <is>
          <t>Medtech Bag</t>
        </is>
      </c>
      <c r="D39" s="22">
        <f>IFERROR(INDEX('КАТАЛОГ'!$B$2:$B$1093,MATCH($C39,'КАТАЛОГ'!$A$2:$A$1093,0)),"")</f>
        <v/>
      </c>
      <c r="E39" s="22">
        <f>IFERROR(INDEX('КАТАЛОГ'!$C$2:$C$1093,MATCH($C39,'КАТАЛОГ'!$A$2:$A$1093,0)),"")</f>
        <v/>
      </c>
      <c r="F39" s="7" t="n"/>
      <c r="G39" s="40">
        <f>IFERROR(INDEX('КАТАЛОГ'!$R$2:$R$1093,MATCH($C39,'КАТАЛОГ'!$A$2:$A$1093,0)),"")</f>
        <v/>
      </c>
      <c r="H39" s="41" t="n"/>
      <c r="I39" s="40">
        <f>IF($C39="",0,IF($H39&lt;&gt;"",$H39,IF(ISNUMBER($G39),$G39,0))*IF($F39="",1,$F39))</f>
        <v/>
      </c>
      <c r="J39" s="9" t="inlineStr">
        <is>
          <t>в багажнике</t>
        </is>
      </c>
      <c r="K39" s="9" t="n"/>
      <c r="L39" s="19" t="n"/>
      <c r="M39" s="21">
        <f>IFERROR(LEFT(INDEX('КАТАЛОГ'!$T$2:$T$1093,MATCH($C39,'КАТАЛОГ'!$A$2:$A$1093,0)),90),"")</f>
        <v/>
      </c>
    </row>
    <row r="40" ht="18" customHeight="1">
      <c r="B40" s="31" t="n">
        <v>7</v>
      </c>
      <c r="C40" s="9" t="inlineStr">
        <is>
          <t>Flashlight</t>
        </is>
      </c>
      <c r="D40" s="22">
        <f>IFERROR(INDEX('КАТАЛОГ'!$B$2:$B$1093,MATCH($C40,'КАТАЛОГ'!$A$2:$A$1093,0)),"")</f>
        <v/>
      </c>
      <c r="E40" s="22">
        <f>IFERROR(INDEX('КАТАЛОГ'!$C$2:$C$1093,MATCH($C40,'КАТАЛОГ'!$A$2:$A$1093,0)),"")</f>
        <v/>
      </c>
      <c r="F40" s="7" t="n"/>
      <c r="G40" s="40">
        <f>IFERROR(INDEX('КАТАЛОГ'!$R$2:$R$1093,MATCH($C40,'КАТАЛОГ'!$A$2:$A$1093,0)),"")</f>
        <v/>
      </c>
      <c r="H40" s="41" t="n"/>
      <c r="I40" s="40">
        <f>IF($C40="",0,IF($H40&lt;&gt;"",$H40,IF(ISNUMBER($G40),$G40,0))*IF($F40="",1,$F40))</f>
        <v/>
      </c>
      <c r="J40" s="9" t="inlineStr">
        <is>
          <t>на поясе</t>
        </is>
      </c>
      <c r="K40" s="9" t="n"/>
      <c r="L40" s="19" t="n"/>
      <c r="M40" s="21">
        <f>IFERROR(LEFT(INDEX('КАТАЛОГ'!$T$2:$T$1093,MATCH($C40,'КАТАЛОГ'!$A$2:$A$1093,0)),90),"")</f>
        <v/>
      </c>
    </row>
    <row r="41" ht="18" customHeight="1">
      <c r="B41" s="31" t="n">
        <v>8</v>
      </c>
      <c r="C41" s="9" t="inlineStr">
        <is>
          <t>Duct Tape</t>
        </is>
      </c>
      <c r="D41" s="22">
        <f>IFERROR(INDEX('КАТАЛОГ'!$B$2:$B$1093,MATCH($C41,'КАТАЛОГ'!$A$2:$A$1093,0)),"")</f>
        <v/>
      </c>
      <c r="E41" s="22">
        <f>IFERROR(INDEX('КАТАЛОГ'!$C$2:$C$1093,MATCH($C41,'КАТАЛОГ'!$A$2:$A$1093,0)),"")</f>
        <v/>
      </c>
      <c r="F41" s="7" t="n"/>
      <c r="G41" s="40">
        <f>IFERROR(INDEX('КАТАЛОГ'!$R$2:$R$1093,MATCH($C41,'КАТАЛОГ'!$A$2:$A$1093,0)),"")</f>
        <v/>
      </c>
      <c r="H41" s="41" t="n"/>
      <c r="I41" s="40">
        <f>IF($C41="",0,IF($H41&lt;&gt;"",$H41,IF(ISNUMBER($G41),$G41,0))*IF($F41="",1,$F41))</f>
        <v/>
      </c>
      <c r="J41" s="9" t="inlineStr">
        <is>
          <t>на поясе</t>
        </is>
      </c>
      <c r="K41" s="9" t="n"/>
      <c r="L41" s="19" t="n"/>
      <c r="M41" s="21">
        <f>IFERROR(LEFT(INDEX('КАТАЛОГ'!$T$2:$T$1093,MATCH($C41,'КАТАЛОГ'!$A$2:$A$1093,0)),90),"")</f>
        <v/>
      </c>
    </row>
    <row r="42" ht="18" customHeight="1">
      <c r="B42" s="31" t="n">
        <v>9</v>
      </c>
      <c r="C42" s="9" t="inlineStr">
        <is>
          <t>Bulletproof Shield</t>
        </is>
      </c>
      <c r="D42" s="22">
        <f>IFERROR(INDEX('КАТАЛОГ'!$B$2:$B$1093,MATCH($C42,'КАТАЛОГ'!$A$2:$A$1093,0)),"")</f>
        <v/>
      </c>
      <c r="E42" s="22">
        <f>IFERROR(INDEX('КАТАЛОГ'!$C$2:$C$1093,MATCH($C42,'КАТАЛОГ'!$A$2:$A$1093,0)),"")</f>
        <v/>
      </c>
      <c r="F42" s="7" t="n"/>
      <c r="G42" s="40">
        <f>IFERROR(INDEX('КАТАЛОГ'!$R$2:$R$1093,MATCH($C42,'КАТАЛОГ'!$A$2:$A$1093,0)),"")</f>
        <v/>
      </c>
      <c r="H42" s="41" t="n"/>
      <c r="I42" s="40">
        <f>IF($C42="",0,IF($H42&lt;&gt;"",$H42,IF(ISNUMBER($G42),$G42,0))*IF($F42="",1,$F42))</f>
        <v/>
      </c>
      <c r="J42" s="9" t="inlineStr">
        <is>
          <t>в руке / за спиной</t>
        </is>
      </c>
      <c r="K42" s="9" t="n"/>
      <c r="L42" s="19" t="n"/>
      <c r="M42" s="21">
        <f>IFERROR(LEFT(INDEX('КАТАЛОГ'!$T$2:$T$1093,MATCH($C42,'КАТАЛОГ'!$A$2:$A$1093,0)),90),"")</f>
        <v/>
      </c>
    </row>
    <row r="43" ht="18" customHeight="1">
      <c r="B43" s="31" t="n">
        <v>10</v>
      </c>
      <c r="C43" s="9" t="inlineStr">
        <is>
          <t>Nomad Leathers Jacket</t>
        </is>
      </c>
      <c r="D43" s="22">
        <f>IFERROR(INDEX('КАТАЛОГ'!$B$2:$B$1093,MATCH($C43,'КАТАЛОГ'!$A$2:$A$1093,0)),"")</f>
        <v/>
      </c>
      <c r="E43" s="22">
        <f>IFERROR(INDEX('КАТАЛОГ'!$C$2:$C$1093,MATCH($C43,'КАТАЛОГ'!$A$2:$A$1093,0)),"")</f>
        <v/>
      </c>
      <c r="F43" s="7" t="n"/>
      <c r="G43" s="40">
        <f>IFERROR(INDEX('КАТАЛОГ'!$R$2:$R$1093,MATCH($C43,'КАТАЛОГ'!$A$2:$A$1093,0)),"")</f>
        <v/>
      </c>
      <c r="H43" s="41" t="n"/>
      <c r="I43" s="40">
        <f>IF($C43="",0,IF($H43&lt;&gt;"",$H43,IF(ISNUMBER($G43),$G43,0))*IF($F43="",1,$F43))</f>
        <v/>
      </c>
      <c r="J43" s="9" t="inlineStr">
        <is>
          <t>комплект «детектив»</t>
        </is>
      </c>
      <c r="K43" s="9" t="n"/>
      <c r="L43" s="19" t="n"/>
      <c r="M43" s="21">
        <f>IFERROR(LEFT(INDEX('КАТАЛОГ'!$T$2:$T$1093,MATCH($C43,'КАТАЛОГ'!$A$2:$A$1093,0)),90),"")</f>
        <v/>
      </c>
    </row>
    <row r="44" ht="18" customHeight="1">
      <c r="B44" s="31" t="n">
        <v>11</v>
      </c>
      <c r="C44" s="9" t="inlineStr">
        <is>
          <t>Nomad Leathers Bottoms</t>
        </is>
      </c>
      <c r="D44" s="22">
        <f>IFERROR(INDEX('КАТАЛОГ'!$B$2:$B$1093,MATCH($C44,'КАТАЛОГ'!$A$2:$A$1093,0)),"")</f>
        <v/>
      </c>
      <c r="E44" s="22">
        <f>IFERROR(INDEX('КАТАЛОГ'!$C$2:$C$1093,MATCH($C44,'КАТАЛОГ'!$A$2:$A$1093,0)),"")</f>
        <v/>
      </c>
      <c r="F44" s="7" t="n"/>
      <c r="G44" s="40">
        <f>IFERROR(INDEX('КАТАЛОГ'!$R$2:$R$1093,MATCH($C44,'КАТАЛОГ'!$A$2:$A$1093,0)),"")</f>
        <v/>
      </c>
      <c r="H44" s="41" t="n"/>
      <c r="I44" s="40">
        <f>IF($C44="",0,IF($H44&lt;&gt;"",$H44,IF(ISNUMBER($G44),$G44,0))*IF($F44="",1,$F44))</f>
        <v/>
      </c>
      <c r="J44" s="9" t="inlineStr">
        <is>
          <t>комплект «детектив»</t>
        </is>
      </c>
      <c r="K44" s="9" t="n"/>
      <c r="L44" s="19" t="n"/>
      <c r="M44" s="21">
        <f>IFERROR(LEFT(INDEX('КАТАЛОГ'!$T$2:$T$1093,MATCH($C44,'КАТАЛОГ'!$A$2:$A$1093,0)),90),"")</f>
        <v/>
      </c>
    </row>
    <row r="45" ht="18" customHeight="1">
      <c r="B45" s="31" t="n">
        <v>12</v>
      </c>
      <c r="C45" s="9" t="inlineStr">
        <is>
          <t>Nomad Leathers Footwear</t>
        </is>
      </c>
      <c r="D45" s="22">
        <f>IFERROR(INDEX('КАТАЛОГ'!$B$2:$B$1093,MATCH($C45,'КАТАЛОГ'!$A$2:$A$1093,0)),"")</f>
        <v/>
      </c>
      <c r="E45" s="22">
        <f>IFERROR(INDEX('КАТАЛОГ'!$C$2:$C$1093,MATCH($C45,'КАТАЛОГ'!$A$2:$A$1093,0)),"")</f>
        <v/>
      </c>
      <c r="F45" s="7" t="n"/>
      <c r="G45" s="40">
        <f>IFERROR(INDEX('КАТАЛОГ'!$R$2:$R$1093,MATCH($C45,'КАТАЛОГ'!$A$2:$A$1093,0)),"")</f>
        <v/>
      </c>
      <c r="H45" s="41" t="n"/>
      <c r="I45" s="40">
        <f>IF($C45="",0,IF($H45&lt;&gt;"",$H45,IF(ISNUMBER($G45),$G45,0))*IF($F45="",1,$F45))</f>
        <v/>
      </c>
      <c r="J45" s="9" t="inlineStr">
        <is>
          <t>комплект «детектив»</t>
        </is>
      </c>
      <c r="K45" s="9" t="n"/>
      <c r="L45" s="19" t="n"/>
      <c r="M45" s="21">
        <f>IFERROR(LEFT(INDEX('КАТАЛОГ'!$T$2:$T$1093,MATCH($C45,'КАТАЛОГ'!$A$2:$A$1093,0)),90),"")</f>
        <v/>
      </c>
    </row>
    <row r="46" ht="18" customHeight="1">
      <c r="B46" s="31" t="n">
        <v>13</v>
      </c>
      <c r="C46" s="9" t="inlineStr">
        <is>
          <t>Nomad Leathers Top</t>
        </is>
      </c>
      <c r="D46" s="22">
        <f>IFERROR(INDEX('КАТАЛОГ'!$B$2:$B$1093,MATCH($C46,'КАТАЛОГ'!$A$2:$A$1093,0)),"")</f>
        <v/>
      </c>
      <c r="E46" s="22">
        <f>IFERROR(INDEX('КАТАЛОГ'!$C$2:$C$1093,MATCH($C46,'КАТАЛОГ'!$A$2:$A$1093,0)),"")</f>
        <v/>
      </c>
      <c r="F46" s="7" t="n"/>
      <c r="G46" s="40">
        <f>IFERROR(INDEX('КАТАЛОГ'!$R$2:$R$1093,MATCH($C46,'КАТАЛОГ'!$A$2:$A$1093,0)),"")</f>
        <v/>
      </c>
      <c r="H46" s="41" t="n"/>
      <c r="I46" s="40">
        <f>IF($C46="",0,IF($H46&lt;&gt;"",$H46,IF(ISNUMBER($G46),$G46,0))*IF($F46="",1,$F46))</f>
        <v/>
      </c>
      <c r="J46" s="9" t="inlineStr">
        <is>
          <t>комплект «детектив»</t>
        </is>
      </c>
      <c r="K46" s="9" t="n"/>
      <c r="L46" s="19" t="n"/>
      <c r="M46" s="21">
        <f>IFERROR(LEFT(INDEX('КАТАЛОГ'!$T$2:$T$1093,MATCH($C46,'КАТАЛОГ'!$A$2:$A$1093,0)),90),"")</f>
        <v/>
      </c>
    </row>
    <row r="47" ht="18" customHeight="1">
      <c r="B47" s="31" t="n">
        <v>14</v>
      </c>
      <c r="C47" s="9" t="inlineStr">
        <is>
          <t>Nomad Leathers Mirrorshades</t>
        </is>
      </c>
      <c r="D47" s="22">
        <f>IFERROR(INDEX('КАТАЛОГ'!$B$2:$B$1093,MATCH($C47,'КАТАЛОГ'!$A$2:$A$1093,0)),"")</f>
        <v/>
      </c>
      <c r="E47" s="22">
        <f>IFERROR(INDEX('КАТАЛОГ'!$C$2:$C$1093,MATCH($C47,'КАТАЛОГ'!$A$2:$A$1093,0)),"")</f>
        <v/>
      </c>
      <c r="F47" s="7" t="n"/>
      <c r="G47" s="40">
        <f>IFERROR(INDEX('КАТАЛОГ'!$R$2:$R$1093,MATCH($C47,'КАТАЛОГ'!$A$2:$A$1093,0)),"")</f>
        <v/>
      </c>
      <c r="H47" s="41" t="n"/>
      <c r="I47" s="40">
        <f>IF($C47="",0,IF($H47&lt;&gt;"",$H47,IF(ISNUMBER($G47),$G47,0))*IF($F47="",1,$F47))</f>
        <v/>
      </c>
      <c r="J47" s="9" t="inlineStr">
        <is>
          <t>комплект «детектив»</t>
        </is>
      </c>
      <c r="K47" s="9" t="inlineStr">
        <is>
          <t>комплект «детектив» — зеркальные стёкла в стиле Nomad</t>
        </is>
      </c>
      <c r="L47" s="19" t="n"/>
      <c r="M47" s="21">
        <f>IFERROR(LEFT(INDEX('КАТАЛОГ'!$T$2:$T$1093,MATCH($C47,'КАТАЛОГ'!$A$2:$A$1093,0)),90),"")</f>
        <v/>
      </c>
    </row>
    <row r="48" ht="18" customHeight="1">
      <c r="B48" s="31" t="n">
        <v>15</v>
      </c>
      <c r="C48" s="9" t="inlineStr">
        <is>
          <t>Generic Chic Jacket</t>
        </is>
      </c>
      <c r="D48" s="22">
        <f>IFERROR(INDEX('КАТАЛОГ'!$B$2:$B$1093,MATCH($C48,'КАТАЛОГ'!$A$2:$A$1093,0)),"")</f>
        <v/>
      </c>
      <c r="E48" s="22">
        <f>IFERROR(INDEX('КАТАЛОГ'!$C$2:$C$1093,MATCH($C48,'КАТАЛОГ'!$A$2:$A$1093,0)),"")</f>
        <v/>
      </c>
      <c r="F48" s="7" t="n"/>
      <c r="G48" s="40">
        <f>IFERROR(INDEX('КАТАЛОГ'!$R$2:$R$1093,MATCH($C48,'КАТАЛОГ'!$A$2:$A$1093,0)),"")</f>
        <v/>
      </c>
      <c r="H48" s="41" t="n"/>
      <c r="I48" s="40">
        <f>IF($C48="",0,IF($H48&lt;&gt;"",$H48,IF(ISNUMBER($G48),$G48,0))*IF($F48="",1,$F48))</f>
        <v/>
      </c>
      <c r="J48" s="9" t="inlineStr">
        <is>
          <t>рабочий комплект — не выделяться</t>
        </is>
      </c>
      <c r="K48" s="9" t="n"/>
      <c r="L48" s="19" t="n"/>
      <c r="M48" s="21">
        <f>IFERROR(LEFT(INDEX('КАТАЛОГ'!$T$2:$T$1093,MATCH($C48,'КАТАЛОГ'!$A$2:$A$1093,0)),90),"")</f>
        <v/>
      </c>
    </row>
    <row r="49" ht="18" customHeight="1">
      <c r="B49" s="31" t="n">
        <v>16</v>
      </c>
      <c r="C49" s="9" t="inlineStr">
        <is>
          <t>Generic Chic Bottoms</t>
        </is>
      </c>
      <c r="D49" s="22">
        <f>IFERROR(INDEX('КАТАЛОГ'!$B$2:$B$1093,MATCH($C49,'КАТАЛОГ'!$A$2:$A$1093,0)),"")</f>
        <v/>
      </c>
      <c r="E49" s="22">
        <f>IFERROR(INDEX('КАТАЛОГ'!$C$2:$C$1093,MATCH($C49,'КАТАЛОГ'!$A$2:$A$1093,0)),"")</f>
        <v/>
      </c>
      <c r="F49" s="7" t="n"/>
      <c r="G49" s="40">
        <f>IFERROR(INDEX('КАТАЛОГ'!$R$2:$R$1093,MATCH($C49,'КАТАЛОГ'!$A$2:$A$1093,0)),"")</f>
        <v/>
      </c>
      <c r="H49" s="41" t="n"/>
      <c r="I49" s="40">
        <f>IF($C49="",0,IF($H49&lt;&gt;"",$H49,IF(ISNUMBER($G49),$G49,0))*IF($F49="",1,$F49))</f>
        <v/>
      </c>
      <c r="J49" s="9" t="inlineStr">
        <is>
          <t>рабочий комплект</t>
        </is>
      </c>
      <c r="K49" s="9" t="n"/>
      <c r="L49" s="19" t="n"/>
      <c r="M49" s="21">
        <f>IFERROR(LEFT(INDEX('КАТАЛОГ'!$T$2:$T$1093,MATCH($C49,'КАТАЛОГ'!$A$2:$A$1093,0)),90),"")</f>
        <v/>
      </c>
    </row>
    <row r="50" ht="18" customHeight="1">
      <c r="B50" s="31" t="n">
        <v>17</v>
      </c>
      <c r="C50" s="9" t="inlineStr">
        <is>
          <t>Generic Chic Top</t>
        </is>
      </c>
      <c r="D50" s="22">
        <f>IFERROR(INDEX('КАТАЛОГ'!$B$2:$B$1093,MATCH($C50,'КАТАЛОГ'!$A$2:$A$1093,0)),"")</f>
        <v/>
      </c>
      <c r="E50" s="22">
        <f>IFERROR(INDEX('КАТАЛОГ'!$C$2:$C$1093,MATCH($C50,'КАТАЛОГ'!$A$2:$A$1093,0)),"")</f>
        <v/>
      </c>
      <c r="F50" s="7" t="n"/>
      <c r="G50" s="40">
        <f>IFERROR(INDEX('КАТАЛОГ'!$R$2:$R$1093,MATCH($C50,'КАТАЛОГ'!$A$2:$A$1093,0)),"")</f>
        <v/>
      </c>
      <c r="H50" s="41" t="n"/>
      <c r="I50" s="40">
        <f>IF($C50="",0,IF($H50&lt;&gt;"",$H50,IF(ISNUMBER($G50),$G50,0))*IF($F50="",1,$F50))</f>
        <v/>
      </c>
      <c r="J50" s="9" t="inlineStr">
        <is>
          <t>рабочий комплект</t>
        </is>
      </c>
      <c r="K50" s="9" t="n"/>
      <c r="L50" s="19" t="n"/>
      <c r="M50" s="21">
        <f>IFERROR(LEFT(INDEX('КАТАЛОГ'!$T$2:$T$1093,MATCH($C50,'КАТАЛОГ'!$A$2:$A$1093,0)),90),"")</f>
        <v/>
      </c>
    </row>
    <row r="51" ht="18" customHeight="1">
      <c r="B51" s="31" t="n">
        <v>18</v>
      </c>
      <c r="C51" s="9" t="inlineStr">
        <is>
          <t>Generic Chic Footwear</t>
        </is>
      </c>
      <c r="D51" s="22">
        <f>IFERROR(INDEX('КАТАЛОГ'!$B$2:$B$1093,MATCH($C51,'КАТАЛОГ'!$A$2:$A$1093,0)),"")</f>
        <v/>
      </c>
      <c r="E51" s="22">
        <f>IFERROR(INDEX('КАТАЛОГ'!$C$2:$C$1093,MATCH($C51,'КАТАЛОГ'!$A$2:$A$1093,0)),"")</f>
        <v/>
      </c>
      <c r="F51" s="7" t="n"/>
      <c r="G51" s="40">
        <f>IFERROR(INDEX('КАТАЛОГ'!$R$2:$R$1093,MATCH($C51,'КАТАЛОГ'!$A$2:$A$1093,0)),"")</f>
        <v/>
      </c>
      <c r="H51" s="41" t="n"/>
      <c r="I51" s="40">
        <f>IF($C51="",0,IF($H51&lt;&gt;"",$H51,IF(ISNUMBER($G51),$G51,0))*IF($F51="",1,$F51))</f>
        <v/>
      </c>
      <c r="J51" s="9" t="inlineStr">
        <is>
          <t>рабочий комплект</t>
        </is>
      </c>
      <c r="K51" s="9" t="n"/>
      <c r="L51" s="19" t="n"/>
      <c r="M51" s="21">
        <f>IFERROR(LEFT(INDEX('КАТАЛОГ'!$T$2:$T$1093,MATCH($C51,'КАТАЛОГ'!$A$2:$A$1093,0)),90),"")</f>
        <v/>
      </c>
    </row>
    <row r="52" ht="18" customHeight="1">
      <c r="B52" s="31" t="n">
        <v>19</v>
      </c>
      <c r="C52" s="9" t="inlineStr">
        <is>
          <t>Generic Chic Hats</t>
        </is>
      </c>
      <c r="D52" s="22">
        <f>IFERROR(INDEX('КАТАЛОГ'!$B$2:$B$1093,MATCH($C52,'КАТАЛОГ'!$A$2:$A$1093,0)),"")</f>
        <v/>
      </c>
      <c r="E52" s="22">
        <f>IFERROR(INDEX('КАТАЛОГ'!$C$2:$C$1093,MATCH($C52,'КАТАЛОГ'!$A$2:$A$1093,0)),"")</f>
        <v/>
      </c>
      <c r="F52" s="7" t="n"/>
      <c r="G52" s="40">
        <f>IFERROR(INDEX('КАТАЛОГ'!$R$2:$R$1093,MATCH($C52,'КАТАЛОГ'!$A$2:$A$1093,0)),"")</f>
        <v/>
      </c>
      <c r="H52" s="41" t="n"/>
      <c r="I52" s="40">
        <f>IF($C52="",0,IF($H52&lt;&gt;"",$H52,IF(ISNUMBER($G52),$G52,0))*IF($F52="",1,$F52))</f>
        <v/>
      </c>
      <c r="J52" s="9" t="inlineStr">
        <is>
          <t>рабочий комплект</t>
        </is>
      </c>
      <c r="K52" s="9" t="n"/>
      <c r="L52" s="19" t="n"/>
      <c r="M52" s="21">
        <f>IFERROR(LEFT(INDEX('КАТАЛОГ'!$T$2:$T$1093,MATCH($C52,'КАТАЛОГ'!$A$2:$A$1093,0)),90),"")</f>
        <v/>
      </c>
    </row>
    <row r="53" ht="18" customHeight="1">
      <c r="B53" s="31" t="n">
        <v>20</v>
      </c>
      <c r="C53" s="9" t="n"/>
      <c r="D53" s="22">
        <f>IFERROR(INDEX('КАТАЛОГ'!$B$2:$B$1093,MATCH($C53,'КАТАЛОГ'!$A$2:$A$1093,0)),"")</f>
        <v/>
      </c>
      <c r="E53" s="22">
        <f>IFERROR(INDEX('КАТАЛОГ'!$C$2:$C$1093,MATCH($C53,'КАТАЛОГ'!$A$2:$A$1093,0)),"")</f>
        <v/>
      </c>
      <c r="F53" s="7" t="n"/>
      <c r="G53" s="40">
        <f>IFERROR(INDEX('КАТАЛОГ'!$R$2:$R$1093,MATCH($C53,'КАТАЛОГ'!$A$2:$A$1093,0)),"")</f>
        <v/>
      </c>
      <c r="H53" s="41" t="n"/>
      <c r="I53" s="40">
        <f>IF($C53="",0,IF($H53&lt;&gt;"",$H53,IF(ISNUMBER($G53),$G53,0))*IF($F53="",1,$F53))</f>
        <v/>
      </c>
      <c r="J53" s="9" t="n"/>
      <c r="K53" s="9" t="n"/>
      <c r="L53" s="19" t="n"/>
      <c r="M53" s="21">
        <f>IFERROR(LEFT(INDEX('КАТАЛОГ'!$T$2:$T$1093,MATCH($C53,'КАТАЛОГ'!$A$2:$A$1093,0)),90),"")</f>
        <v/>
      </c>
    </row>
    <row r="54">
      <c r="B54" s="8" t="inlineStr">
        <is>
          <t>ИТОГО ПО ИНВЕНТАРЮ (€$)</t>
        </is>
      </c>
      <c r="C54" s="18" t="n"/>
      <c r="D54" s="19" t="n"/>
      <c r="E54" s="40">
        <f>SUM($I$34:$I$53)</f>
        <v/>
      </c>
      <c r="F54" s="6" t="inlineStr">
        <is>
          <t>СНАРЯЖЕНИЕ + СТИЛЬ, ВСЁ</t>
        </is>
      </c>
      <c r="H54" s="40">
        <f>SUM($I$34:$I$53)</f>
        <v/>
      </c>
      <c r="I54" s="22">
        <f>IF(($G$3+$G$4)&gt;($E$3+$E$4),"⚠ потрачено больше стартовых 3350 €$ — часть вещей куплена уже в игре","")</f>
        <v/>
      </c>
      <c r="J54" s="18" t="n"/>
      <c r="K54" s="18" t="n"/>
      <c r="L54" s="18" t="n"/>
      <c r="M54" s="19" t="n"/>
    </row>
    <row r="56">
      <c r="B56" s="17" t="inlineStr">
        <is>
          <t>Ⅳ · КАССА  ·  ДОХОДЫ И ТРАТЫ В ИГРЕ</t>
        </is>
      </c>
    </row>
    <row r="57">
      <c r="B57" s="20" t="inlineStr">
        <is>
          <t>ДАТА</t>
        </is>
      </c>
      <c r="C57" s="20" t="inlineStr">
        <is>
          <t>ЧТО (ДЕЛО / ПОКУПКА)</t>
        </is>
      </c>
      <c r="E57" s="20" t="inlineStr">
        <is>
          <t>ОБОРОТ ± €$</t>
        </is>
      </c>
      <c r="F57" s="20" t="inlineStr">
        <is>
          <t>БАЛАНС</t>
        </is>
      </c>
      <c r="G57" s="20" t="inlineStr">
        <is>
          <t>ЗАМЕТКА</t>
        </is>
      </c>
    </row>
    <row r="58" ht="18" customHeight="1">
      <c r="B58" s="9" t="n"/>
      <c r="C58" s="9" t="n"/>
      <c r="D58" s="19" t="n"/>
      <c r="E58" s="41" t="n"/>
      <c r="F58" s="40">
        <f>$I$3+SUM($E$58:$E58)</f>
        <v/>
      </c>
      <c r="G58" s="9" t="n"/>
      <c r="H58" s="18" t="n"/>
      <c r="I58" s="18" t="n"/>
      <c r="J58" s="18" t="n"/>
      <c r="K58" s="18" t="n"/>
      <c r="L58" s="18" t="n"/>
      <c r="M58" s="19" t="n"/>
    </row>
    <row r="59" ht="18" customHeight="1">
      <c r="B59" s="9" t="n"/>
      <c r="C59" s="9" t="n"/>
      <c r="D59" s="19" t="n"/>
      <c r="E59" s="41" t="n"/>
      <c r="F59" s="40">
        <f>$I$3+SUM($E$58:$E59)</f>
        <v/>
      </c>
      <c r="G59" s="9" t="n"/>
      <c r="H59" s="18" t="n"/>
      <c r="I59" s="18" t="n"/>
      <c r="J59" s="18" t="n"/>
      <c r="K59" s="18" t="n"/>
      <c r="L59" s="18" t="n"/>
      <c r="M59" s="19" t="n"/>
    </row>
    <row r="60" ht="18" customHeight="1">
      <c r="B60" s="9" t="n"/>
      <c r="C60" s="9" t="n"/>
      <c r="D60" s="19" t="n"/>
      <c r="E60" s="41" t="n"/>
      <c r="F60" s="40">
        <f>$I$3+SUM($E$58:$E60)</f>
        <v/>
      </c>
      <c r="G60" s="9" t="n"/>
      <c r="H60" s="18" t="n"/>
      <c r="I60" s="18" t="n"/>
      <c r="J60" s="18" t="n"/>
      <c r="K60" s="18" t="n"/>
      <c r="L60" s="18" t="n"/>
      <c r="M60" s="19" t="n"/>
    </row>
    <row r="61" ht="18" customHeight="1">
      <c r="B61" s="9" t="n"/>
      <c r="C61" s="9" t="n"/>
      <c r="D61" s="19" t="n"/>
      <c r="E61" s="41" t="n"/>
      <c r="F61" s="40">
        <f>$I$3+SUM($E$58:$E61)</f>
        <v/>
      </c>
      <c r="G61" s="9" t="n"/>
      <c r="H61" s="18" t="n"/>
      <c r="I61" s="18" t="n"/>
      <c r="J61" s="18" t="n"/>
      <c r="K61" s="18" t="n"/>
      <c r="L61" s="18" t="n"/>
      <c r="M61" s="19" t="n"/>
    </row>
    <row r="62" ht="18" customHeight="1">
      <c r="B62" s="9" t="n"/>
      <c r="C62" s="9" t="n"/>
      <c r="D62" s="19" t="n"/>
      <c r="E62" s="41" t="n"/>
      <c r="F62" s="40">
        <f>$I$3+SUM($E$58:$E62)</f>
        <v/>
      </c>
      <c r="G62" s="9" t="n"/>
      <c r="H62" s="18" t="n"/>
      <c r="I62" s="18" t="n"/>
      <c r="J62" s="18" t="n"/>
      <c r="K62" s="18" t="n"/>
      <c r="L62" s="18" t="n"/>
      <c r="M62" s="19" t="n"/>
    </row>
    <row r="63" ht="18" customHeight="1">
      <c r="B63" s="9" t="n"/>
      <c r="C63" s="9" t="n"/>
      <c r="D63" s="19" t="n"/>
      <c r="E63" s="41" t="n"/>
      <c r="F63" s="40">
        <f>$I$3+SUM($E$58:$E63)</f>
        <v/>
      </c>
      <c r="G63" s="9" t="n"/>
      <c r="H63" s="18" t="n"/>
      <c r="I63" s="18" t="n"/>
      <c r="J63" s="18" t="n"/>
      <c r="K63" s="18" t="n"/>
      <c r="L63" s="18" t="n"/>
      <c r="M63" s="19" t="n"/>
    </row>
    <row r="64" ht="18" customHeight="1">
      <c r="B64" s="9" t="n"/>
      <c r="C64" s="9" t="n"/>
      <c r="D64" s="19" t="n"/>
      <c r="E64" s="41" t="n"/>
      <c r="F64" s="40">
        <f>$I$3+SUM($E$58:$E64)</f>
        <v/>
      </c>
      <c r="G64" s="9" t="n"/>
      <c r="H64" s="18" t="n"/>
      <c r="I64" s="18" t="n"/>
      <c r="J64" s="18" t="n"/>
      <c r="K64" s="18" t="n"/>
      <c r="L64" s="18" t="n"/>
      <c r="M64" s="19" t="n"/>
    </row>
    <row r="65" ht="18" customHeight="1">
      <c r="B65" s="9" t="n"/>
      <c r="C65" s="9" t="n"/>
      <c r="D65" s="19" t="n"/>
      <c r="E65" s="41" t="n"/>
      <c r="F65" s="40">
        <f>$I$3+SUM($E$58:$E65)</f>
        <v/>
      </c>
      <c r="G65" s="9" t="n"/>
      <c r="H65" s="18" t="n"/>
      <c r="I65" s="18" t="n"/>
      <c r="J65" s="18" t="n"/>
      <c r="K65" s="18" t="n"/>
      <c r="L65" s="18" t="n"/>
      <c r="M65" s="19" t="n"/>
    </row>
    <row r="66" ht="18" customHeight="1">
      <c r="B66" s="9" t="n"/>
      <c r="C66" s="9" t="n"/>
      <c r="D66" s="19" t="n"/>
      <c r="E66" s="41" t="n"/>
      <c r="F66" s="40">
        <f>$I$3+SUM($E$58:$E66)</f>
        <v/>
      </c>
      <c r="G66" s="9" t="n"/>
      <c r="H66" s="18" t="n"/>
      <c r="I66" s="18" t="n"/>
      <c r="J66" s="18" t="n"/>
      <c r="K66" s="18" t="n"/>
      <c r="L66" s="18" t="n"/>
      <c r="M66" s="19" t="n"/>
    </row>
    <row r="67" ht="18" customHeight="1">
      <c r="B67" s="9" t="n"/>
      <c r="C67" s="9" t="n"/>
      <c r="D67" s="19" t="n"/>
      <c r="E67" s="41" t="n"/>
      <c r="F67" s="40">
        <f>$I$3+SUM($E$58:$E67)</f>
        <v/>
      </c>
      <c r="G67" s="9" t="n"/>
      <c r="H67" s="18" t="n"/>
      <c r="I67" s="18" t="n"/>
      <c r="J67" s="18" t="n"/>
      <c r="K67" s="18" t="n"/>
      <c r="L67" s="18" t="n"/>
      <c r="M67" s="19" t="n"/>
    </row>
    <row r="68" ht="18" customHeight="1">
      <c r="B68" s="9" t="n"/>
      <c r="C68" s="9" t="n"/>
      <c r="D68" s="19" t="n"/>
      <c r="E68" s="41" t="n"/>
      <c r="F68" s="40">
        <f>$I$3+SUM($E$58:$E68)</f>
        <v/>
      </c>
      <c r="G68" s="9" t="n"/>
      <c r="H68" s="18" t="n"/>
      <c r="I68" s="18" t="n"/>
      <c r="J68" s="18" t="n"/>
      <c r="K68" s="18" t="n"/>
      <c r="L68" s="18" t="n"/>
      <c r="M68" s="19" t="n"/>
    </row>
    <row r="69" ht="18" customHeight="1">
      <c r="B69" s="9" t="n"/>
      <c r="C69" s="9" t="n"/>
      <c r="D69" s="19" t="n"/>
      <c r="E69" s="41" t="n"/>
      <c r="F69" s="40">
        <f>$I$3+SUM($E$58:$E69)</f>
        <v/>
      </c>
      <c r="G69" s="9" t="n"/>
      <c r="H69" s="18" t="n"/>
      <c r="I69" s="18" t="n"/>
      <c r="J69" s="18" t="n"/>
      <c r="K69" s="18" t="n"/>
      <c r="L69" s="18" t="n"/>
      <c r="M69" s="19" t="n"/>
    </row>
    <row r="70" ht="18" customHeight="1">
      <c r="B70" s="9" t="n"/>
      <c r="C70" s="9" t="n"/>
      <c r="D70" s="19" t="n"/>
      <c r="E70" s="41" t="n"/>
      <c r="F70" s="40">
        <f>$I$3+SUM($E$58:$E70)</f>
        <v/>
      </c>
      <c r="G70" s="9" t="n"/>
      <c r="H70" s="18" t="n"/>
      <c r="I70" s="18" t="n"/>
      <c r="J70" s="18" t="n"/>
      <c r="K70" s="18" t="n"/>
      <c r="L70" s="18" t="n"/>
      <c r="M70" s="19" t="n"/>
    </row>
    <row r="71" ht="18" customHeight="1">
      <c r="B71" s="9" t="n"/>
      <c r="C71" s="9" t="n"/>
      <c r="D71" s="19" t="n"/>
      <c r="E71" s="41" t="n"/>
      <c r="F71" s="40">
        <f>$I$3+SUM($E$58:$E71)</f>
        <v/>
      </c>
      <c r="G71" s="9" t="n"/>
      <c r="H71" s="18" t="n"/>
      <c r="I71" s="18" t="n"/>
      <c r="J71" s="18" t="n"/>
      <c r="K71" s="18" t="n"/>
      <c r="L71" s="18" t="n"/>
      <c r="M71" s="19" t="n"/>
    </row>
    <row r="72" ht="18" customHeight="1">
      <c r="B72" s="9" t="n"/>
      <c r="C72" s="9" t="n"/>
      <c r="D72" s="19" t="n"/>
      <c r="E72" s="41" t="n"/>
      <c r="F72" s="40">
        <f>$I$3+SUM($E$58:$E72)</f>
        <v/>
      </c>
      <c r="G72" s="9" t="n"/>
      <c r="H72" s="18" t="n"/>
      <c r="I72" s="18" t="n"/>
      <c r="J72" s="18" t="n"/>
      <c r="K72" s="18" t="n"/>
      <c r="L72" s="18" t="n"/>
      <c r="M72" s="19" t="n"/>
    </row>
    <row r="73" ht="18" customHeight="1">
      <c r="B73" s="9" t="n"/>
      <c r="C73" s="9" t="n"/>
      <c r="D73" s="19" t="n"/>
      <c r="E73" s="41" t="n"/>
      <c r="F73" s="40">
        <f>$I$3+SUM($E$58:$E73)</f>
        <v/>
      </c>
      <c r="G73" s="9" t="n"/>
      <c r="H73" s="18" t="n"/>
      <c r="I73" s="18" t="n"/>
      <c r="J73" s="18" t="n"/>
      <c r="K73" s="18" t="n"/>
      <c r="L73" s="18" t="n"/>
      <c r="M73" s="19" t="n"/>
    </row>
    <row r="74" ht="18" customHeight="1">
      <c r="B74" s="9" t="n"/>
      <c r="C74" s="9" t="n"/>
      <c r="D74" s="19" t="n"/>
      <c r="E74" s="41" t="n"/>
      <c r="F74" s="40">
        <f>$I$3+SUM($E$58:$E74)</f>
        <v/>
      </c>
      <c r="G74" s="9" t="n"/>
      <c r="H74" s="18" t="n"/>
      <c r="I74" s="18" t="n"/>
      <c r="J74" s="18" t="n"/>
      <c r="K74" s="18" t="n"/>
      <c r="L74" s="18" t="n"/>
      <c r="M74" s="19" t="n"/>
    </row>
    <row r="75" ht="18" customHeight="1">
      <c r="B75" s="9" t="n"/>
      <c r="C75" s="9" t="n"/>
      <c r="D75" s="19" t="n"/>
      <c r="E75" s="41" t="n"/>
      <c r="F75" s="40">
        <f>$I$3+SUM($E$58:$E75)</f>
        <v/>
      </c>
      <c r="G75" s="9" t="n"/>
      <c r="H75" s="18" t="n"/>
      <c r="I75" s="18" t="n"/>
      <c r="J75" s="18" t="n"/>
      <c r="K75" s="18" t="n"/>
      <c r="L75" s="18" t="n"/>
      <c r="M75" s="19" t="n"/>
    </row>
    <row r="76" ht="18" customHeight="1">
      <c r="B76" s="9" t="n"/>
      <c r="C76" s="9" t="n"/>
      <c r="D76" s="19" t="n"/>
      <c r="E76" s="41" t="n"/>
      <c r="F76" s="40">
        <f>$I$3+SUM($E$58:$E76)</f>
        <v/>
      </c>
      <c r="G76" s="9" t="n"/>
      <c r="H76" s="18" t="n"/>
      <c r="I76" s="18" t="n"/>
      <c r="J76" s="18" t="n"/>
      <c r="K76" s="18" t="n"/>
      <c r="L76" s="18" t="n"/>
      <c r="M76" s="19" t="n"/>
    </row>
    <row r="77" ht="18" customHeight="1">
      <c r="B77" s="9" t="n"/>
      <c r="C77" s="9" t="n"/>
      <c r="D77" s="19" t="n"/>
      <c r="E77" s="41" t="n"/>
      <c r="F77" s="40">
        <f>$I$3+SUM($E$58:$E77)</f>
        <v/>
      </c>
      <c r="G77" s="9" t="n"/>
      <c r="H77" s="18" t="n"/>
      <c r="I77" s="18" t="n"/>
      <c r="J77" s="18" t="n"/>
      <c r="K77" s="18" t="n"/>
      <c r="L77" s="18" t="n"/>
      <c r="M77" s="19" t="n"/>
    </row>
    <row r="78">
      <c r="B78" s="8" t="n"/>
      <c r="C78" s="18" t="n"/>
      <c r="D78" s="19" t="n"/>
      <c r="E78" s="40">
        <f>SUM($E$58:$E$77)</f>
        <v/>
      </c>
      <c r="F78" s="40">
        <f>$I$3+SUM($E$58:$E$77)</f>
        <v/>
      </c>
      <c r="G78" s="6" t="inlineStr">
        <is>
          <t>Наличные = стартовый остаток + оборот. Хочешь вести наличные вручную — перебей «БАЛАНС» цифрой.</t>
        </is>
      </c>
    </row>
    <row r="80" ht="46" customHeight="1">
      <c r="B80" s="6" t="inlineStr">
        <is>
          <t>ПАМЯТКА ПО ДЕНЬГАМ: 2550 €$ — оружие/броня/снаряжение/хром; 800 €$ — только Fashion + Fashionware; жильё (1 000 €$) + Kibble Lifestyle (100 €$/мес) = 1 100 €$ к 1-му числу, первый месяц покрыт; +1500 €$ «от корпорации» — только на импланты и вместе с обязательным Neural Link. Остаток бюджета снаряжения забираешь наличными, остаток модного бюджета сгорает (CP:R стр. 104). В 2070-х можно купить почти всё напрямую у производителя, но по двойной цене (CEMK: расширенная доступность).</t>
        </is>
      </c>
    </row>
  </sheetData>
  <mergeCells count="92">
    <mergeCell ref="B2:M2"/>
    <mergeCell ref="K49:L49"/>
    <mergeCell ref="F5:H5"/>
    <mergeCell ref="C62:D62"/>
    <mergeCell ref="K33:L33"/>
    <mergeCell ref="C64:D64"/>
    <mergeCell ref="C73:D73"/>
    <mergeCell ref="K35:L35"/>
    <mergeCell ref="G75:M75"/>
    <mergeCell ref="E27:M27"/>
    <mergeCell ref="C63:D63"/>
    <mergeCell ref="I54:M54"/>
    <mergeCell ref="K50:L50"/>
    <mergeCell ref="G59:M59"/>
    <mergeCell ref="G77:M77"/>
    <mergeCell ref="G67:M67"/>
    <mergeCell ref="K52:L52"/>
    <mergeCell ref="G61:M61"/>
    <mergeCell ref="G70:M70"/>
    <mergeCell ref="B80:M80"/>
    <mergeCell ref="C76:D76"/>
    <mergeCell ref="B4:D4"/>
    <mergeCell ref="K42:L42"/>
    <mergeCell ref="B54:D54"/>
    <mergeCell ref="K53:L53"/>
    <mergeCell ref="B7:M7"/>
    <mergeCell ref="G62:M62"/>
    <mergeCell ref="C67:D67"/>
    <mergeCell ref="J4:M4"/>
    <mergeCell ref="K37:L37"/>
    <mergeCell ref="B56:M56"/>
    <mergeCell ref="C69:D69"/>
    <mergeCell ref="G65:M65"/>
    <mergeCell ref="B17:M17"/>
    <mergeCell ref="B27:C27"/>
    <mergeCell ref="G76:M76"/>
    <mergeCell ref="K51:L51"/>
    <mergeCell ref="G60:M60"/>
    <mergeCell ref="K41:L41"/>
    <mergeCell ref="K43:L43"/>
    <mergeCell ref="B29:C29"/>
    <mergeCell ref="C60:D60"/>
    <mergeCell ref="C71:D71"/>
    <mergeCell ref="B19:O19"/>
    <mergeCell ref="G69:M69"/>
    <mergeCell ref="G78:M78"/>
    <mergeCell ref="C57:D57"/>
    <mergeCell ref="G30:M30"/>
    <mergeCell ref="C66:D66"/>
    <mergeCell ref="M33"/>
    <mergeCell ref="C77:D77"/>
    <mergeCell ref="E29:M29"/>
    <mergeCell ref="C68:D68"/>
    <mergeCell ref="G64:M64"/>
    <mergeCell ref="J3:M3"/>
    <mergeCell ref="C58:D58"/>
    <mergeCell ref="G73:M73"/>
    <mergeCell ref="K45:L45"/>
    <mergeCell ref="B78:D78"/>
    <mergeCell ref="G63:M63"/>
    <mergeCell ref="K47:L47"/>
    <mergeCell ref="C65:D65"/>
    <mergeCell ref="K44:L44"/>
    <mergeCell ref="C75:D75"/>
    <mergeCell ref="K46:L46"/>
    <mergeCell ref="K40:L40"/>
    <mergeCell ref="C59:D59"/>
    <mergeCell ref="B28:C28"/>
    <mergeCell ref="C61:D61"/>
    <mergeCell ref="I5:M5"/>
    <mergeCell ref="C70:D70"/>
    <mergeCell ref="G66:M66"/>
    <mergeCell ref="B30:C30"/>
    <mergeCell ref="B5:C5"/>
    <mergeCell ref="G74:M74"/>
    <mergeCell ref="G68:M68"/>
    <mergeCell ref="G58:M58"/>
    <mergeCell ref="K34:L34"/>
    <mergeCell ref="E28:M28"/>
    <mergeCell ref="C74:D74"/>
    <mergeCell ref="B1:M1"/>
    <mergeCell ref="K36:L36"/>
    <mergeCell ref="G72:M72"/>
    <mergeCell ref="G71:M71"/>
    <mergeCell ref="B32:M32"/>
    <mergeCell ref="K39:L39"/>
    <mergeCell ref="K48:L48"/>
    <mergeCell ref="G57:M57"/>
    <mergeCell ref="B3:D3"/>
    <mergeCell ref="C72:D72"/>
    <mergeCell ref="K38:L38"/>
    <mergeCell ref="B18:M18"/>
  </mergeCells>
  <conditionalFormatting sqref="F5">
    <cfRule type="expression" priority="1" dxfId="2" stopIfTrue="0">
      <formula>LEFT($F$5,1)="✔"</formula>
    </cfRule>
    <cfRule type="expression" priority="2" dxfId="1" stopIfTrue="0">
      <formula>LEFT($F$5,1)="✖"</formula>
    </cfRule>
  </conditionalFormatting>
  <conditionalFormatting sqref="I3:I4">
    <cfRule type="expression" priority="3" dxfId="1" stopIfTrue="0">
      <formula>OR($I$3&lt;0,$I$4&lt;0)</formula>
    </cfRule>
  </conditionalFormatting>
  <conditionalFormatting sqref="G3">
    <cfRule type="expression" priority="4" dxfId="1" stopIfTrue="0">
      <formula>($G$3+$G$4)&gt;($E$3+$E$4)</formula>
    </cfRule>
  </conditionalFormatting>
  <dataValidations count="62">
    <dataValidation sqref="C9" showDropDown="0" showInputMessage="0" showErrorMessage="0" allowBlank="1" type="list">
      <formula1>='КАТАЛОГ'!$A$2:$A$1093</formula1>
    </dataValidation>
    <dataValidation sqref="J9" showDropDown="0" showInputMessage="0" showErrorMessage="0" allowBlank="1" type="list">
      <formula1>"Standard,Excellent,Poor"</formula1>
    </dataValidation>
    <dataValidation sqref="K9" showDropDown="0" showInputMessage="0" showErrorMessage="0" allowBlank="1" type="list">
      <formula1>"1,2,3,4"</formula1>
    </dataValidation>
    <dataValidation sqref="C10" showDropDown="0" showInputMessage="0" showErrorMessage="0" allowBlank="1" type="list">
      <formula1>='КАТАЛОГ'!$A$2:$A$1093</formula1>
    </dataValidation>
    <dataValidation sqref="J10" showDropDown="0" showInputMessage="0" showErrorMessage="0" allowBlank="1" type="list">
      <formula1>"Standard,Excellent,Poor"</formula1>
    </dataValidation>
    <dataValidation sqref="K10" showDropDown="0" showInputMessage="0" showErrorMessage="0" allowBlank="1" type="list">
      <formula1>"1,2,3,4"</formula1>
    </dataValidation>
    <dataValidation sqref="C11" showDropDown="0" showInputMessage="0" showErrorMessage="0" allowBlank="1" type="list">
      <formula1>='КАТАЛОГ'!$A$2:$A$1093</formula1>
    </dataValidation>
    <dataValidation sqref="J11" showDropDown="0" showInputMessage="0" showErrorMessage="0" allowBlank="1" type="list">
      <formula1>"Standard,Excellent,Poor"</formula1>
    </dataValidation>
    <dataValidation sqref="K11" showDropDown="0" showInputMessage="0" showErrorMessage="0" allowBlank="1" type="list">
      <formula1>"1,2,3,4"</formula1>
    </dataValidation>
    <dataValidation sqref="C12" showDropDown="0" showInputMessage="0" showErrorMessage="0" allowBlank="1" type="list">
      <formula1>='КАТАЛОГ'!$A$2:$A$1093</formula1>
    </dataValidation>
    <dataValidation sqref="J12" showDropDown="0" showInputMessage="0" showErrorMessage="0" allowBlank="1" type="list">
      <formula1>"Standard,Excellent,Poor"</formula1>
    </dataValidation>
    <dataValidation sqref="K12" showDropDown="0" showInputMessage="0" showErrorMessage="0" allowBlank="1" type="list">
      <formula1>"1,2,3,4"</formula1>
    </dataValidation>
    <dataValidation sqref="C13" showDropDown="0" showInputMessage="0" showErrorMessage="0" allowBlank="1" type="list">
      <formula1>='КАТАЛОГ'!$A$2:$A$1093</formula1>
    </dataValidation>
    <dataValidation sqref="J13" showDropDown="0" showInputMessage="0" showErrorMessage="0" allowBlank="1" type="list">
      <formula1>"Standard,Excellent,Poor"</formula1>
    </dataValidation>
    <dataValidation sqref="K13" showDropDown="0" showInputMessage="0" showErrorMessage="0" allowBlank="1" type="list">
      <formula1>"1,2,3,4"</formula1>
    </dataValidation>
    <dataValidation sqref="C14" showDropDown="0" showInputMessage="0" showErrorMessage="0" allowBlank="1" type="list">
      <formula1>='КАТАЛОГ'!$A$2:$A$1093</formula1>
    </dataValidation>
    <dataValidation sqref="J14" showDropDown="0" showInputMessage="0" showErrorMessage="0" allowBlank="1" type="list">
      <formula1>"Standard,Excellent,Poor"</formula1>
    </dataValidation>
    <dataValidation sqref="K14" showDropDown="0" showInputMessage="0" showErrorMessage="0" allowBlank="1" type="list">
      <formula1>"1,2,3,4"</formula1>
    </dataValidation>
    <dataValidation sqref="C15" showDropDown="0" showInputMessage="0" showErrorMessage="0" allowBlank="1" type="list">
      <formula1>='КАТАЛОГ'!$A$2:$A$1093</formula1>
    </dataValidation>
    <dataValidation sqref="J15" showDropDown="0" showInputMessage="0" showErrorMessage="0" allowBlank="1" type="list">
      <formula1>"Standard,Excellent,Poor"</formula1>
    </dataValidation>
    <dataValidation sqref="K15" showDropDown="0" showInputMessage="0" showErrorMessage="0" allowBlank="1" type="list">
      <formula1>"1,2,3,4"</formula1>
    </dataValidation>
    <dataValidation sqref="C16" showDropDown="0" showInputMessage="0" showErrorMessage="0" allowBlank="1" type="list">
      <formula1>='КАТАЛОГ'!$A$2:$A$1093</formula1>
    </dataValidation>
    <dataValidation sqref="J16" showDropDown="0" showInputMessage="0" showErrorMessage="0" allowBlank="1" type="list">
      <formula1>"Standard,Excellent,Poor"</formula1>
    </dataValidation>
    <dataValidation sqref="K16" showDropDown="0" showInputMessage="0" showErrorMessage="0" allowBlank="1" type="list">
      <formula1>"1,2,3,4"</formula1>
    </dataValidation>
    <dataValidation sqref="C21" showDropDown="0" showInputMessage="0" showErrorMessage="0" allowBlank="1" type="list">
      <formula1>='КАТАЛОГ'!$A$2:$A$1093</formula1>
    </dataValidation>
    <dataValidation sqref="D21" showDropDown="0" showInputMessage="0" showErrorMessage="0" allowBlank="1" type="list">
      <formula1>"Голова,Тело,Щит"</formula1>
    </dataValidation>
    <dataValidation sqref="E21" showDropDown="0" showInputMessage="0" showErrorMessage="0" allowBlank="1" type="list">
      <formula1>"Да,Нет"</formula1>
    </dataValidation>
    <dataValidation sqref="C22" showDropDown="0" showInputMessage="0" showErrorMessage="0" allowBlank="1" type="list">
      <formula1>='КАТАЛОГ'!$A$2:$A$1093</formula1>
    </dataValidation>
    <dataValidation sqref="D22" showDropDown="0" showInputMessage="0" showErrorMessage="0" allowBlank="1" type="list">
      <formula1>"Голова,Тело,Щит"</formula1>
    </dataValidation>
    <dataValidation sqref="E22" showDropDown="0" showInputMessage="0" showErrorMessage="0" allowBlank="1" type="list">
      <formula1>"Да,Нет"</formula1>
    </dataValidation>
    <dataValidation sqref="C23" showDropDown="0" showInputMessage="0" showErrorMessage="0" allowBlank="1" type="list">
      <formula1>='КАТАЛОГ'!$A$2:$A$1093</formula1>
    </dataValidation>
    <dataValidation sqref="D23" showDropDown="0" showInputMessage="0" showErrorMessage="0" allowBlank="1" type="list">
      <formula1>"Голова,Тело,Щит"</formula1>
    </dataValidation>
    <dataValidation sqref="E23" showDropDown="0" showInputMessage="0" showErrorMessage="0" allowBlank="1" type="list">
      <formula1>"Да,Нет"</formula1>
    </dataValidation>
    <dataValidation sqref="C24" showDropDown="0" showInputMessage="0" showErrorMessage="0" allowBlank="1" type="list">
      <formula1>='КАТАЛОГ'!$A$2:$A$1093</formula1>
    </dataValidation>
    <dataValidation sqref="D24" showDropDown="0" showInputMessage="0" showErrorMessage="0" allowBlank="1" type="list">
      <formula1>"Голова,Тело,Щит"</formula1>
    </dataValidation>
    <dataValidation sqref="E24" showDropDown="0" showInputMessage="0" showErrorMessage="0" allowBlank="1" type="list">
      <formula1>"Да,Нет"</formula1>
    </dataValidation>
    <dataValidation sqref="C25" showDropDown="0" showInputMessage="0" showErrorMessage="0" allowBlank="1" type="list">
      <formula1>='КАТАЛОГ'!$A$2:$A$1093</formula1>
    </dataValidation>
    <dataValidation sqref="D25" showDropDown="0" showInputMessage="0" showErrorMessage="0" allowBlank="1" type="list">
      <formula1>"Голова,Тело,Щит"</formula1>
    </dataValidation>
    <dataValidation sqref="E25" showDropDown="0" showInputMessage="0" showErrorMessage="0" allowBlank="1" type="list">
      <formula1>"Да,Нет"</formula1>
    </dataValidation>
    <dataValidation sqref="C26" showDropDown="0" showInputMessage="0" showErrorMessage="0" allowBlank="1" type="list">
      <formula1>='КАТАЛОГ'!$A$2:$A$1093</formula1>
    </dataValidation>
    <dataValidation sqref="D26" showDropDown="0" showInputMessage="0" showErrorMessage="0" allowBlank="1" type="list">
      <formula1>"Голова,Тело,Щит"</formula1>
    </dataValidation>
    <dataValidation sqref="E26" showDropDown="0" showInputMessage="0" showErrorMessage="0" allowBlank="1" type="list">
      <formula1>"Да,Нет"</formula1>
    </dataValidation>
    <dataValidation sqref="C34" showDropDown="0" showInputMessage="0" showErrorMessage="0" allowBlank="1" type="list">
      <formula1>='КАТАЛОГ'!$A$2:$A$1093</formula1>
    </dataValidation>
    <dataValidation sqref="C35" showDropDown="0" showInputMessage="0" showErrorMessage="0" allowBlank="1" type="list">
      <formula1>='КАТАЛОГ'!$A$2:$A$1093</formula1>
    </dataValidation>
    <dataValidation sqref="C36" showDropDown="0" showInputMessage="0" showErrorMessage="0" allowBlank="1" type="list">
      <formula1>='КАТАЛОГ'!$A$2:$A$1093</formula1>
    </dataValidation>
    <dataValidation sqref="C37" showDropDown="0" showInputMessage="0" showErrorMessage="0" allowBlank="1" type="list">
      <formula1>='КАТАЛОГ'!$A$2:$A$1093</formula1>
    </dataValidation>
    <dataValidation sqref="C38" showDropDown="0" showInputMessage="0" showErrorMessage="0" allowBlank="1" type="list">
      <formula1>='КАТАЛОГ'!$A$2:$A$1093</formula1>
    </dataValidation>
    <dataValidation sqref="C39" showDropDown="0" showInputMessage="0" showErrorMessage="0" allowBlank="1" type="list">
      <formula1>='КАТАЛОГ'!$A$2:$A$1093</formula1>
    </dataValidation>
    <dataValidation sqref="C40" showDropDown="0" showInputMessage="0" showErrorMessage="0" allowBlank="1" type="list">
      <formula1>='КАТАЛОГ'!$A$2:$A$1093</formula1>
    </dataValidation>
    <dataValidation sqref="C41" showDropDown="0" showInputMessage="0" showErrorMessage="0" allowBlank="1" type="list">
      <formula1>='КАТАЛОГ'!$A$2:$A$1093</formula1>
    </dataValidation>
    <dataValidation sqref="C42" showDropDown="0" showInputMessage="0" showErrorMessage="0" allowBlank="1" type="list">
      <formula1>='КАТАЛОГ'!$A$2:$A$1093</formula1>
    </dataValidation>
    <dataValidation sqref="C43" showDropDown="0" showInputMessage="0" showErrorMessage="0" allowBlank="1" type="list">
      <formula1>='КАТАЛОГ'!$A$2:$A$1093</formula1>
    </dataValidation>
    <dataValidation sqref="C44" showDropDown="0" showInputMessage="0" showErrorMessage="0" allowBlank="1" type="list">
      <formula1>='КАТАЛОГ'!$A$2:$A$1093</formula1>
    </dataValidation>
    <dataValidation sqref="C45" showDropDown="0" showInputMessage="0" showErrorMessage="0" allowBlank="1" type="list">
      <formula1>='КАТАЛОГ'!$A$2:$A$1093</formula1>
    </dataValidation>
    <dataValidation sqref="C46" showDropDown="0" showInputMessage="0" showErrorMessage="0" allowBlank="1" type="list">
      <formula1>='КАТАЛОГ'!$A$2:$A$1093</formula1>
    </dataValidation>
    <dataValidation sqref="C47" showDropDown="0" showInputMessage="0" showErrorMessage="0" allowBlank="1" type="list">
      <formula1>='КАТАЛОГ'!$A$2:$A$1093</formula1>
    </dataValidation>
    <dataValidation sqref="C48" showDropDown="0" showInputMessage="0" showErrorMessage="0" allowBlank="1" type="list">
      <formula1>='КАТАЛОГ'!$A$2:$A$1093</formula1>
    </dataValidation>
    <dataValidation sqref="C49" showDropDown="0" showInputMessage="0" showErrorMessage="0" allowBlank="1" type="list">
      <formula1>='КАТАЛОГ'!$A$2:$A$1093</formula1>
    </dataValidation>
    <dataValidation sqref="C50" showDropDown="0" showInputMessage="0" showErrorMessage="0" allowBlank="1" type="list">
      <formula1>='КАТАЛОГ'!$A$2:$A$1093</formula1>
    </dataValidation>
    <dataValidation sqref="C51" showDropDown="0" showInputMessage="0" showErrorMessage="0" allowBlank="1" type="list">
      <formula1>='КАТАЛОГ'!$A$2:$A$1093</formula1>
    </dataValidation>
    <dataValidation sqref="C52" showDropDown="0" showInputMessage="0" showErrorMessage="0" allowBlank="1" type="list">
      <formula1>='КАТАЛОГ'!$A$2:$A$1093</formula1>
    </dataValidation>
    <dataValidation sqref="C53" showDropDown="0" showInputMessage="0" showErrorMessage="0" allowBlank="1" type="list">
      <formula1>='КАТАЛОГ'!$A$2:$A$1093</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1B2430"/>
    <outlinePr summaryBelow="1" summaryRight="1"/>
    <pageSetUpPr fitToPage="1"/>
  </sheetPr>
  <dimension ref="B1:M111"/>
  <sheetViews>
    <sheetView showGridLines="0" workbookViewId="0">
      <pane ySplit="7" topLeftCell="A8" activePane="bottomLeft" state="frozen"/>
      <selection pane="bottomLeft" activeCell="A1" sqref="A1"/>
    </sheetView>
  </sheetViews>
  <sheetFormatPr baseColWidth="8" defaultRowHeight="15"/>
  <cols>
    <col width="2" customWidth="1" min="1" max="1"/>
    <col width="4" customWidth="1" min="2" max="2"/>
    <col width="18" customWidth="1" min="3" max="3"/>
    <col width="26" customWidth="1" min="4" max="4"/>
    <col width="30" customWidth="1" min="5" max="5"/>
    <col width="16" customWidth="1" min="6" max="6"/>
    <col width="16" customWidth="1" min="7" max="7"/>
    <col width="18" customWidth="1" min="8" max="8"/>
    <col width="13" customWidth="1" min="9" max="9"/>
    <col width="22" customWidth="1" min="10" max="10"/>
    <col width="20" customWidth="1" min="11" max="11"/>
    <col width="20" customWidth="1" min="12" max="12"/>
    <col width="2" customWidth="1" min="13" max="13"/>
  </cols>
  <sheetData>
    <row r="1" ht="20" customHeight="1">
      <c r="B1" s="1" t="inlineStr">
        <is>
          <t>СОСТОЯНИЕ  ▚  РАНЫ · КРИТ-ТРАВМЫ · ЗАВИСИМОСТИ · IP · ЛОГ ДЕЛ</t>
        </is>
      </c>
    </row>
    <row r="2">
      <c r="B2" s="8" t="inlineStr">
        <is>
          <t>ТЕКУЩЕЕ СОСТОЯНИЕ ОБЪЕКТА</t>
        </is>
      </c>
      <c r="C2" s="18" t="n"/>
      <c r="D2" s="18" t="n"/>
      <c r="E2" s="19" t="n"/>
      <c r="F2" s="8" t="inlineStr">
        <is>
          <t>HP</t>
        </is>
      </c>
      <c r="G2" s="30">
        <f>'02 ОСНОВА'!$D$25&amp;" / "&amp;'02 ОСНОВА'!$D$24</f>
        <v/>
      </c>
      <c r="H2" s="8" t="inlineStr">
        <is>
          <t>СОСТОЯНИЕ</t>
        </is>
      </c>
      <c r="I2" s="30">
        <f>'02 ОСНОВА'!$G$3</f>
        <v/>
      </c>
      <c r="J2" s="6" t="inlineStr">
        <is>
          <t>HP правится на листе 02 (ячейка D25) — здесь всё пересчитается.</t>
        </is>
      </c>
    </row>
    <row r="3">
      <c r="B3" s="8" t="inlineStr">
        <is>
          <t>СПАСБРОСОК СМЕРТИ (BODY)</t>
        </is>
      </c>
      <c r="C3" s="19" t="n"/>
      <c r="D3" s="30">
        <f>'02 ОСНОВА'!$D$27</f>
        <v/>
      </c>
      <c r="E3" s="8" t="inlineStr">
        <is>
          <t>ШТРАФ К СПАСБРОСКАМ</t>
        </is>
      </c>
      <c r="F3" s="30">
        <f>'02 ОСНОВА'!$D$28</f>
        <v/>
      </c>
      <c r="G3" s="8" t="inlineStr">
        <is>
          <t>ОТМЕТКИ ПРОВАЛОВ</t>
        </is>
      </c>
      <c r="H3" s="9" t="n"/>
      <c r="I3" s="18" t="n"/>
      <c r="J3" s="18" t="n"/>
      <c r="K3" s="18" t="n"/>
      <c r="L3" s="18" t="n"/>
      <c r="M3" s="19" t="n"/>
    </row>
    <row r="4" ht="30" customHeight="1">
      <c r="B4" s="6" t="inlineStr">
        <is>
          <t>Смертельное состояние: HP &lt; 1 → −4 ко всем действиям, −6 MOVE, спасбросок смерти в начале каждого хода. Крит-травма даёт +5 урона напрямую в HP (+1 к штрафу спасброска за такие травмы). Стабилизация: DV10 (лёгкое), DV13 (серьёзное), DV15 (смертельное → 1 HP и минута без сознания).</t>
        </is>
      </c>
    </row>
    <row r="6">
      <c r="B6" s="17" t="inlineStr">
        <is>
          <t>Ⅰ · КРИТ-ТРАВМЫ  ·  ВЫБЕРИ ЛОКАЦИЮ И БРОСОК 2D6 — ОСТАЛЬНОЕ ПОДТЯНЕТСЯ</t>
        </is>
      </c>
    </row>
    <row r="7">
      <c r="B7" s="20" t="inlineStr">
        <is>
          <t>№</t>
        </is>
      </c>
      <c r="C7" s="20" t="inlineStr">
        <is>
          <t>ЛОКАЦИЯ</t>
        </is>
      </c>
      <c r="D7" s="20" t="inlineStr">
        <is>
          <t>2D6</t>
        </is>
      </c>
      <c r="E7" s="20" t="inlineStr">
        <is>
          <t>ТРАВМА (АВТО)</t>
        </is>
      </c>
      <c r="F7" s="20" t="inlineStr">
        <is>
          <t>ЭФФЕКТ (АВТО)</t>
        </is>
      </c>
      <c r="G7" s="20" t="inlineStr">
        <is>
          <t>БЫСТРЫЙ ФИКС</t>
        </is>
      </c>
      <c r="H7" s="20" t="inlineStr">
        <is>
          <t>ЛЕЧЕНИЕ</t>
        </is>
      </c>
      <c r="I7" s="20" t="inlineStr">
        <is>
          <t>СТАТУС</t>
        </is>
      </c>
      <c r="J7" s="20" t="inlineStr">
        <is>
          <t>ЗАМЕТКИ</t>
        </is>
      </c>
    </row>
    <row r="8" ht="20" customHeight="1">
      <c r="B8" s="31" t="n">
        <v>1</v>
      </c>
      <c r="C8" s="7" t="inlineStr">
        <is>
          <t>Тело</t>
        </is>
      </c>
      <c r="D8" s="7" t="n"/>
      <c r="E8" s="22">
        <f>IF($D8="","",IF($C8="Тело",IFERROR(INDEX($C$22:$C$33,MATCH($D8,$B$22:$B$33,0)),"—"),IF($C8="Голова",IFERROR(INDEX($C$37:$C$48,MATCH($D8,$B$37:$B$48,0)),"—"),"—")))</f>
        <v/>
      </c>
      <c r="F8" s="21">
        <f>IF($D8="","",IF($C8="Тело",IFERROR(INDEX($D$22:$D$33,MATCH($D8,$B$22:$B$33,0)),"—"),IF($C8="Голова",IFERROR(INDEX($D$37:$D$48,MATCH($D8,$B$37:$B$48,0)),"—"),"—")))</f>
        <v/>
      </c>
      <c r="G8" s="31">
        <f>IF($D8="","",IF($C8="Тело",IFERROR(INDEX($E$22:$E$33,MATCH($D8,$B$22:$B$33,0)),"—"),IF($C8="Голова",IFERROR(INDEX($E$37:$E$48,MATCH($D8,$B$37:$B$48,0)),"—"),"—")))</f>
        <v/>
      </c>
      <c r="H8" s="31">
        <f>IF($D8="","",IF($C8="Тело",IFERROR(INDEX($F$22:$F$33,MATCH($D8,$B$22:$B$33,0)),"—"),IF($C8="Голова",IFERROR(INDEX($F$37:$F$48,MATCH($D8,$B$37:$B$48,0)),"—"),"—")))</f>
        <v/>
      </c>
      <c r="I8" s="7" t="inlineStr">
        <is>
          <t>Нет</t>
        </is>
      </c>
      <c r="J8" s="9" t="n"/>
      <c r="K8" s="18" t="n"/>
      <c r="L8" s="18" t="n"/>
      <c r="M8" s="19" t="n"/>
    </row>
    <row r="9" ht="20" customHeight="1">
      <c r="B9" s="31" t="n">
        <v>2</v>
      </c>
      <c r="C9" s="7" t="inlineStr">
        <is>
          <t>Тело</t>
        </is>
      </c>
      <c r="D9" s="7" t="n"/>
      <c r="E9" s="22">
        <f>IF($D9="","",IF($C9="Тело",IFERROR(INDEX($C$22:$C$33,MATCH($D9,$B$22:$B$33,0)),"—"),IF($C9="Голова",IFERROR(INDEX($C$37:$C$48,MATCH($D9,$B$37:$B$48,0)),"—"),"—")))</f>
        <v/>
      </c>
      <c r="F9" s="21">
        <f>IF($D9="","",IF($C9="Тело",IFERROR(INDEX($D$22:$D$33,MATCH($D9,$B$22:$B$33,0)),"—"),IF($C9="Голова",IFERROR(INDEX($D$37:$D$48,MATCH($D9,$B$37:$B$48,0)),"—"),"—")))</f>
        <v/>
      </c>
      <c r="G9" s="31">
        <f>IF($D9="","",IF($C9="Тело",IFERROR(INDEX($E$22:$E$33,MATCH($D9,$B$22:$B$33,0)),"—"),IF($C9="Голова",IFERROR(INDEX($E$37:$E$48,MATCH($D9,$B$37:$B$48,0)),"—"),"—")))</f>
        <v/>
      </c>
      <c r="H9" s="31">
        <f>IF($D9="","",IF($C9="Тело",IFERROR(INDEX($F$22:$F$33,MATCH($D9,$B$22:$B$33,0)),"—"),IF($C9="Голова",IFERROR(INDEX($F$37:$F$48,MATCH($D9,$B$37:$B$48,0)),"—"),"—")))</f>
        <v/>
      </c>
      <c r="I9" s="7" t="inlineStr">
        <is>
          <t>Нет</t>
        </is>
      </c>
      <c r="J9" s="9" t="n"/>
      <c r="K9" s="18" t="n"/>
      <c r="L9" s="18" t="n"/>
      <c r="M9" s="19" t="n"/>
    </row>
    <row r="10" ht="20" customHeight="1">
      <c r="B10" s="31" t="n">
        <v>3</v>
      </c>
      <c r="C10" s="7" t="inlineStr">
        <is>
          <t>Тело</t>
        </is>
      </c>
      <c r="D10" s="7" t="n"/>
      <c r="E10" s="22">
        <f>IF($D10="","",IF($C10="Тело",IFERROR(INDEX($C$22:$C$33,MATCH($D10,$B$22:$B$33,0)),"—"),IF($C10="Голова",IFERROR(INDEX($C$37:$C$48,MATCH($D10,$B$37:$B$48,0)),"—"),"—")))</f>
        <v/>
      </c>
      <c r="F10" s="21">
        <f>IF($D10="","",IF($C10="Тело",IFERROR(INDEX($D$22:$D$33,MATCH($D10,$B$22:$B$33,0)),"—"),IF($C10="Голова",IFERROR(INDEX($D$37:$D$48,MATCH($D10,$B$37:$B$48,0)),"—"),"—")))</f>
        <v/>
      </c>
      <c r="G10" s="31">
        <f>IF($D10="","",IF($C10="Тело",IFERROR(INDEX($E$22:$E$33,MATCH($D10,$B$22:$B$33,0)),"—"),IF($C10="Голова",IFERROR(INDEX($E$37:$E$48,MATCH($D10,$B$37:$B$48,0)),"—"),"—")))</f>
        <v/>
      </c>
      <c r="H10" s="31">
        <f>IF($D10="","",IF($C10="Тело",IFERROR(INDEX($F$22:$F$33,MATCH($D10,$B$22:$B$33,0)),"—"),IF($C10="Голова",IFERROR(INDEX($F$37:$F$48,MATCH($D10,$B$37:$B$48,0)),"—"),"—")))</f>
        <v/>
      </c>
      <c r="I10" s="7" t="inlineStr">
        <is>
          <t>Нет</t>
        </is>
      </c>
      <c r="J10" s="9" t="n"/>
      <c r="K10" s="18" t="n"/>
      <c r="L10" s="18" t="n"/>
      <c r="M10" s="19" t="n"/>
    </row>
    <row r="11" ht="20" customHeight="1">
      <c r="B11" s="31" t="n">
        <v>4</v>
      </c>
      <c r="C11" s="7" t="inlineStr">
        <is>
          <t>Тело</t>
        </is>
      </c>
      <c r="D11" s="7" t="n"/>
      <c r="E11" s="22">
        <f>IF($D11="","",IF($C11="Тело",IFERROR(INDEX($C$22:$C$33,MATCH($D11,$B$22:$B$33,0)),"—"),IF($C11="Голова",IFERROR(INDEX($C$37:$C$48,MATCH($D11,$B$37:$B$48,0)),"—"),"—")))</f>
        <v/>
      </c>
      <c r="F11" s="21">
        <f>IF($D11="","",IF($C11="Тело",IFERROR(INDEX($D$22:$D$33,MATCH($D11,$B$22:$B$33,0)),"—"),IF($C11="Голова",IFERROR(INDEX($D$37:$D$48,MATCH($D11,$B$37:$B$48,0)),"—"),"—")))</f>
        <v/>
      </c>
      <c r="G11" s="31">
        <f>IF($D11="","",IF($C11="Тело",IFERROR(INDEX($E$22:$E$33,MATCH($D11,$B$22:$B$33,0)),"—"),IF($C11="Голова",IFERROR(INDEX($E$37:$E$48,MATCH($D11,$B$37:$B$48,0)),"—"),"—")))</f>
        <v/>
      </c>
      <c r="H11" s="31">
        <f>IF($D11="","",IF($C11="Тело",IFERROR(INDEX($F$22:$F$33,MATCH($D11,$B$22:$B$33,0)),"—"),IF($C11="Голова",IFERROR(INDEX($F$37:$F$48,MATCH($D11,$B$37:$B$48,0)),"—"),"—")))</f>
        <v/>
      </c>
      <c r="I11" s="7" t="inlineStr">
        <is>
          <t>Нет</t>
        </is>
      </c>
      <c r="J11" s="9" t="n"/>
      <c r="K11" s="18" t="n"/>
      <c r="L11" s="18" t="n"/>
      <c r="M11" s="19" t="n"/>
    </row>
    <row r="12" ht="20" customHeight="1">
      <c r="B12" s="31" t="n">
        <v>5</v>
      </c>
      <c r="C12" s="7" t="inlineStr">
        <is>
          <t>Тело</t>
        </is>
      </c>
      <c r="D12" s="7" t="n"/>
      <c r="E12" s="22">
        <f>IF($D12="","",IF($C12="Тело",IFERROR(INDEX($C$22:$C$33,MATCH($D12,$B$22:$B$33,0)),"—"),IF($C12="Голова",IFERROR(INDEX($C$37:$C$48,MATCH($D12,$B$37:$B$48,0)),"—"),"—")))</f>
        <v/>
      </c>
      <c r="F12" s="21">
        <f>IF($D12="","",IF($C12="Тело",IFERROR(INDEX($D$22:$D$33,MATCH($D12,$B$22:$B$33,0)),"—"),IF($C12="Голова",IFERROR(INDEX($D$37:$D$48,MATCH($D12,$B$37:$B$48,0)),"—"),"—")))</f>
        <v/>
      </c>
      <c r="G12" s="31">
        <f>IF($D12="","",IF($C12="Тело",IFERROR(INDEX($E$22:$E$33,MATCH($D12,$B$22:$B$33,0)),"—"),IF($C12="Голова",IFERROR(INDEX($E$37:$E$48,MATCH($D12,$B$37:$B$48,0)),"—"),"—")))</f>
        <v/>
      </c>
      <c r="H12" s="31">
        <f>IF($D12="","",IF($C12="Тело",IFERROR(INDEX($F$22:$F$33,MATCH($D12,$B$22:$B$33,0)),"—"),IF($C12="Голова",IFERROR(INDEX($F$37:$F$48,MATCH($D12,$B$37:$B$48,0)),"—"),"—")))</f>
        <v/>
      </c>
      <c r="I12" s="7" t="inlineStr">
        <is>
          <t>Нет</t>
        </is>
      </c>
      <c r="J12" s="9" t="n"/>
      <c r="K12" s="18" t="n"/>
      <c r="L12" s="18" t="n"/>
      <c r="M12" s="19" t="n"/>
    </row>
    <row r="13" ht="20" customHeight="1">
      <c r="B13" s="31" t="n">
        <v>6</v>
      </c>
      <c r="C13" s="7" t="inlineStr">
        <is>
          <t>Тело</t>
        </is>
      </c>
      <c r="D13" s="7" t="n"/>
      <c r="E13" s="22">
        <f>IF($D13="","",IF($C13="Тело",IFERROR(INDEX($C$22:$C$33,MATCH($D13,$B$22:$B$33,0)),"—"),IF($C13="Голова",IFERROR(INDEX($C$37:$C$48,MATCH($D13,$B$37:$B$48,0)),"—"),"—")))</f>
        <v/>
      </c>
      <c r="F13" s="21">
        <f>IF($D13="","",IF($C13="Тело",IFERROR(INDEX($D$22:$D$33,MATCH($D13,$B$22:$B$33,0)),"—"),IF($C13="Голова",IFERROR(INDEX($D$37:$D$48,MATCH($D13,$B$37:$B$48,0)),"—"),"—")))</f>
        <v/>
      </c>
      <c r="G13" s="31">
        <f>IF($D13="","",IF($C13="Тело",IFERROR(INDEX($E$22:$E$33,MATCH($D13,$B$22:$B$33,0)),"—"),IF($C13="Голова",IFERROR(INDEX($E$37:$E$48,MATCH($D13,$B$37:$B$48,0)),"—"),"—")))</f>
        <v/>
      </c>
      <c r="H13" s="31">
        <f>IF($D13="","",IF($C13="Тело",IFERROR(INDEX($F$22:$F$33,MATCH($D13,$B$22:$B$33,0)),"—"),IF($C13="Голова",IFERROR(INDEX($F$37:$F$48,MATCH($D13,$B$37:$B$48,0)),"—"),"—")))</f>
        <v/>
      </c>
      <c r="I13" s="7" t="inlineStr">
        <is>
          <t>Нет</t>
        </is>
      </c>
      <c r="J13" s="9" t="n"/>
      <c r="K13" s="18" t="n"/>
      <c r="L13" s="18" t="n"/>
      <c r="M13" s="19" t="n"/>
    </row>
    <row r="14" ht="20" customHeight="1">
      <c r="B14" s="31" t="n">
        <v>7</v>
      </c>
      <c r="C14" s="7" t="inlineStr">
        <is>
          <t>Тело</t>
        </is>
      </c>
      <c r="D14" s="7" t="n"/>
      <c r="E14" s="22">
        <f>IF($D14="","",IF($C14="Тело",IFERROR(INDEX($C$22:$C$33,MATCH($D14,$B$22:$B$33,0)),"—"),IF($C14="Голова",IFERROR(INDEX($C$37:$C$48,MATCH($D14,$B$37:$B$48,0)),"—"),"—")))</f>
        <v/>
      </c>
      <c r="F14" s="21">
        <f>IF($D14="","",IF($C14="Тело",IFERROR(INDEX($D$22:$D$33,MATCH($D14,$B$22:$B$33,0)),"—"),IF($C14="Голова",IFERROR(INDEX($D$37:$D$48,MATCH($D14,$B$37:$B$48,0)),"—"),"—")))</f>
        <v/>
      </c>
      <c r="G14" s="31">
        <f>IF($D14="","",IF($C14="Тело",IFERROR(INDEX($E$22:$E$33,MATCH($D14,$B$22:$B$33,0)),"—"),IF($C14="Голова",IFERROR(INDEX($E$37:$E$48,MATCH($D14,$B$37:$B$48,0)),"—"),"—")))</f>
        <v/>
      </c>
      <c r="H14" s="31">
        <f>IF($D14="","",IF($C14="Тело",IFERROR(INDEX($F$22:$F$33,MATCH($D14,$B$22:$B$33,0)),"—"),IF($C14="Голова",IFERROR(INDEX($F$37:$F$48,MATCH($D14,$B$37:$B$48,0)),"—"),"—")))</f>
        <v/>
      </c>
      <c r="I14" s="7" t="inlineStr">
        <is>
          <t>Нет</t>
        </is>
      </c>
      <c r="J14" s="9" t="n"/>
      <c r="K14" s="18" t="n"/>
      <c r="L14" s="18" t="n"/>
      <c r="M14" s="19" t="n"/>
    </row>
    <row r="15" ht="20" customHeight="1">
      <c r="B15" s="31" t="n">
        <v>8</v>
      </c>
      <c r="C15" s="7" t="inlineStr">
        <is>
          <t>Тело</t>
        </is>
      </c>
      <c r="D15" s="7" t="n"/>
      <c r="E15" s="22">
        <f>IF($D15="","",IF($C15="Тело",IFERROR(INDEX($C$22:$C$33,MATCH($D15,$B$22:$B$33,0)),"—"),IF($C15="Голова",IFERROR(INDEX($C$37:$C$48,MATCH($D15,$B$37:$B$48,0)),"—"),"—")))</f>
        <v/>
      </c>
      <c r="F15" s="21">
        <f>IF($D15="","",IF($C15="Тело",IFERROR(INDEX($D$22:$D$33,MATCH($D15,$B$22:$B$33,0)),"—"),IF($C15="Голова",IFERROR(INDEX($D$37:$D$48,MATCH($D15,$B$37:$B$48,0)),"—"),"—")))</f>
        <v/>
      </c>
      <c r="G15" s="31">
        <f>IF($D15="","",IF($C15="Тело",IFERROR(INDEX($E$22:$E$33,MATCH($D15,$B$22:$B$33,0)),"—"),IF($C15="Голова",IFERROR(INDEX($E$37:$E$48,MATCH($D15,$B$37:$B$48,0)),"—"),"—")))</f>
        <v/>
      </c>
      <c r="H15" s="31">
        <f>IF($D15="","",IF($C15="Тело",IFERROR(INDEX($F$22:$F$33,MATCH($D15,$B$22:$B$33,0)),"—"),IF($C15="Голова",IFERROR(INDEX($F$37:$F$48,MATCH($D15,$B$37:$B$48,0)),"—"),"—")))</f>
        <v/>
      </c>
      <c r="I15" s="7" t="inlineStr">
        <is>
          <t>Нет</t>
        </is>
      </c>
      <c r="J15" s="9" t="n"/>
      <c r="K15" s="18" t="n"/>
      <c r="L15" s="18" t="n"/>
      <c r="M15" s="19" t="n"/>
    </row>
    <row r="16" ht="20" customHeight="1">
      <c r="B16" s="31" t="n">
        <v>9</v>
      </c>
      <c r="C16" s="7" t="inlineStr">
        <is>
          <t>Тело</t>
        </is>
      </c>
      <c r="D16" s="7" t="n"/>
      <c r="E16" s="22">
        <f>IF($D16="","",IF($C16="Тело",IFERROR(INDEX($C$22:$C$33,MATCH($D16,$B$22:$B$33,0)),"—"),IF($C16="Голова",IFERROR(INDEX($C$37:$C$48,MATCH($D16,$B$37:$B$48,0)),"—"),"—")))</f>
        <v/>
      </c>
      <c r="F16" s="21">
        <f>IF($D16="","",IF($C16="Тело",IFERROR(INDEX($D$22:$D$33,MATCH($D16,$B$22:$B$33,0)),"—"),IF($C16="Голова",IFERROR(INDEX($D$37:$D$48,MATCH($D16,$B$37:$B$48,0)),"—"),"—")))</f>
        <v/>
      </c>
      <c r="G16" s="31">
        <f>IF($D16="","",IF($C16="Тело",IFERROR(INDEX($E$22:$E$33,MATCH($D16,$B$22:$B$33,0)),"—"),IF($C16="Голова",IFERROR(INDEX($E$37:$E$48,MATCH($D16,$B$37:$B$48,0)),"—"),"—")))</f>
        <v/>
      </c>
      <c r="H16" s="31">
        <f>IF($D16="","",IF($C16="Тело",IFERROR(INDEX($F$22:$F$33,MATCH($D16,$B$22:$B$33,0)),"—"),IF($C16="Голова",IFERROR(INDEX($F$37:$F$48,MATCH($D16,$B$37:$B$48,0)),"—"),"—")))</f>
        <v/>
      </c>
      <c r="I16" s="7" t="inlineStr">
        <is>
          <t>Нет</t>
        </is>
      </c>
      <c r="J16" s="9" t="n"/>
      <c r="K16" s="18" t="n"/>
      <c r="L16" s="18" t="n"/>
      <c r="M16" s="19" t="n"/>
    </row>
    <row r="17" ht="20" customHeight="1">
      <c r="B17" s="31" t="n">
        <v>10</v>
      </c>
      <c r="C17" s="7" t="inlineStr">
        <is>
          <t>Тело</t>
        </is>
      </c>
      <c r="D17" s="7" t="n"/>
      <c r="E17" s="22">
        <f>IF($D17="","",IF($C17="Тело",IFERROR(INDEX($C$22:$C$33,MATCH($D17,$B$22:$B$33,0)),"—"),IF($C17="Голова",IFERROR(INDEX($C$37:$C$48,MATCH($D17,$B$37:$B$48,0)),"—"),"—")))</f>
        <v/>
      </c>
      <c r="F17" s="21">
        <f>IF($D17="","",IF($C17="Тело",IFERROR(INDEX($D$22:$D$33,MATCH($D17,$B$22:$B$33,0)),"—"),IF($C17="Голова",IFERROR(INDEX($D$37:$D$48,MATCH($D17,$B$37:$B$48,0)),"—"),"—")))</f>
        <v/>
      </c>
      <c r="G17" s="31">
        <f>IF($D17="","",IF($C17="Тело",IFERROR(INDEX($E$22:$E$33,MATCH($D17,$B$22:$B$33,0)),"—"),IF($C17="Голова",IFERROR(INDEX($E$37:$E$48,MATCH($D17,$B$37:$B$48,0)),"—"),"—")))</f>
        <v/>
      </c>
      <c r="H17" s="31">
        <f>IF($D17="","",IF($C17="Тело",IFERROR(INDEX($F$22:$F$33,MATCH($D17,$B$22:$B$33,0)),"—"),IF($C17="Голова",IFERROR(INDEX($F$37:$F$48,MATCH($D17,$B$37:$B$48,0)),"—"),"—")))</f>
        <v/>
      </c>
      <c r="I17" s="7" t="inlineStr">
        <is>
          <t>Нет</t>
        </is>
      </c>
      <c r="J17" s="9" t="n"/>
      <c r="K17" s="18" t="n"/>
      <c r="L17" s="18" t="n"/>
      <c r="M17" s="19" t="n"/>
    </row>
    <row r="18" ht="30" customHeight="1">
      <c r="B18" s="6" t="inlineStr">
        <is>
          <t>Крит = два и более «6» на кубах урона ближней/дальней атаки: +5 урона напрямую в HP (SP не гасит). Без прицельного выстрела в голову — таблица тела. Если травма уже есть, перебрасывай, пока не выпадет новая. Quick Fix лечит эффект, но не саму травму.</t>
        </is>
      </c>
    </row>
    <row r="20">
      <c r="B20" s="17" t="inlineStr">
        <is>
          <t>ТАБЛИЦА 2D6 · КРИТИЧЕСКИЕ ТРАВМЫ ТЕЛА (СПРАВОЧНИК ДЛЯ СТОЛА)</t>
        </is>
      </c>
    </row>
    <row r="21">
      <c r="B21" s="20" t="inlineStr">
        <is>
          <t>2D6</t>
        </is>
      </c>
      <c r="C21" s="20" t="inlineStr">
        <is>
          <t>ТРАВМА</t>
        </is>
      </c>
      <c r="D21" s="20" t="inlineStr">
        <is>
          <t>ЭФФЕКТ · БЫСТРЫЙ ФИКС · ЛЕЧЕНИЕ</t>
        </is>
      </c>
      <c r="G21" s="20" t="inlineStr">
        <is>
          <t>ДЛЯ СТОЛА</t>
        </is>
      </c>
    </row>
    <row r="22" ht="26" customHeight="1">
      <c r="B22" s="31" t="n">
        <v>2</v>
      </c>
      <c r="C22" s="21" t="inlineStr">
        <is>
          <t>Dismembered Arm (Отрубленная рука)</t>
        </is>
      </c>
      <c r="D22" s="21" t="inlineStr">
        <is>
          <t>Руки больше нет. Вы роняете все предметы в её кисти. +1 к Base Death Save Penalty.  ·  Quick Fix: —  ·  Лечение: Surgery DV17</t>
        </is>
      </c>
      <c r="E22" s="18" t="n"/>
      <c r="F22" s="19" t="n"/>
      <c r="G22" s="6" t="inlineStr">
        <is>
          <t>+5 урона в HP.</t>
        </is>
      </c>
    </row>
    <row r="23" ht="26" customHeight="1">
      <c r="B23" s="31" t="n">
        <v>3</v>
      </c>
      <c r="C23" s="21" t="inlineStr">
        <is>
          <t>Dismembered Hand (Отрубленная кисть)</t>
        </is>
      </c>
      <c r="D23" s="21" t="inlineStr">
        <is>
          <t>Кисти больше нет. Вы роняете все предметы в ней. +1 к Base Death Save Penalty.  ·  Quick Fix: —  ·  Лечение: Surgery DV17</t>
        </is>
      </c>
      <c r="E23" s="18" t="n"/>
      <c r="F23" s="19" t="n"/>
      <c r="G23" s="6" t="inlineStr">
        <is>
          <t>+5 урона в HP.</t>
        </is>
      </c>
    </row>
    <row r="24" ht="26" customHeight="1">
      <c r="B24" s="31" t="n">
        <v>4</v>
      </c>
      <c r="C24" s="21" t="inlineStr">
        <is>
          <t>Collapsed Lung (Коллапс лёгкого)</t>
        </is>
      </c>
      <c r="D24" s="21" t="inlineStr">
        <is>
          <t>−2 MOVE (мин. 1). +1 к Base Death Save Penalty.  ·  Quick Fix: Paramedic DV15  ·  Лечение: Surgery DV15</t>
        </is>
      </c>
      <c r="E24" s="18" t="n"/>
      <c r="F24" s="19" t="n"/>
      <c r="G24" s="6" t="inlineStr">
        <is>
          <t>+5 урона в HP.</t>
        </is>
      </c>
    </row>
    <row r="25" ht="26" customHeight="1">
      <c r="B25" s="31" t="n">
        <v>5</v>
      </c>
      <c r="C25" s="21" t="inlineStr">
        <is>
          <t>Broken Ribs (Перелом рёбер)</t>
        </is>
      </c>
      <c r="D25" s="21" t="inlineStr">
        <is>
          <t>При перемещении более 4 м на ногах — снова бонусный урон крит. травмы в конце хода.  ·  Quick Fix: Paramedic DV13  ·  Лечение: Paramedic DV15 или Surgery DV13</t>
        </is>
      </c>
      <c r="E25" s="18" t="n"/>
      <c r="F25" s="19" t="n"/>
      <c r="G25" s="6" t="inlineStr">
        <is>
          <t>+5 урона в HP.</t>
        </is>
      </c>
    </row>
    <row r="26" ht="26" customHeight="1">
      <c r="B26" s="31" t="n">
        <v>6</v>
      </c>
      <c r="C26" s="21" t="inlineStr">
        <is>
          <t>Broken Arm (Перелом руки)</t>
        </is>
      </c>
      <c r="D26" s="21" t="inlineStr">
        <is>
          <t>Сломанная рука не используется. Вы роняете всё из её кисти.  ·  Quick Fix: Paramedic DV13  ·  Лечение: Paramedic DV15 или Surgery DV13</t>
        </is>
      </c>
      <c r="E26" s="18" t="n"/>
      <c r="F26" s="19" t="n"/>
      <c r="G26" s="6" t="inlineStr">
        <is>
          <t>+5 урона в HP.</t>
        </is>
      </c>
    </row>
    <row r="27" ht="26" customHeight="1">
      <c r="B27" s="31" t="n">
        <v>7</v>
      </c>
      <c r="C27" s="21" t="inlineStr">
        <is>
          <t>Foreign Object (Инородное тело)</t>
        </is>
      </c>
      <c r="D27" s="21" t="inlineStr">
        <is>
          <t>При перемещении более 4 м на ногах — снова бонусный урон крит. травмы в конце хода.  ·  Quick Fix: First Aid или Paramedic DV13  ·  Лечение: Quick Fix убирает навсегда</t>
        </is>
      </c>
      <c r="E27" s="18" t="n"/>
      <c r="F27" s="19" t="n"/>
      <c r="G27" s="6" t="inlineStr">
        <is>
          <t>+5 урона в HP.</t>
        </is>
      </c>
    </row>
    <row r="28" ht="26" customHeight="1">
      <c r="B28" s="31" t="n">
        <v>8</v>
      </c>
      <c r="C28" s="21" t="inlineStr">
        <is>
          <t>Broken Leg (Перелом ноги)</t>
        </is>
      </c>
      <c r="D28" s="21" t="inlineStr">
        <is>
          <t>−4 MOVE (мин. 1).  ·  Quick Fix: Paramedic DV13  ·  Лечение: Paramedic DV15 или Surgery DV13</t>
        </is>
      </c>
      <c r="E28" s="18" t="n"/>
      <c r="F28" s="19" t="n"/>
      <c r="G28" s="6" t="inlineStr">
        <is>
          <t>+5 урона в HP.</t>
        </is>
      </c>
    </row>
    <row r="29" ht="26" customHeight="1">
      <c r="B29" s="31" t="n">
        <v>9</v>
      </c>
      <c r="C29" s="21" t="inlineStr">
        <is>
          <t>Torn Muscle (Разрыв мышц)</t>
        </is>
      </c>
      <c r="D29" s="21" t="inlineStr">
        <is>
          <t>−2 к атакам ближнего боя.  ·  Quick Fix: First Aid или Paramedic DV13  ·  Лечение: Quick Fix убирает навсегда</t>
        </is>
      </c>
      <c r="E29" s="18" t="n"/>
      <c r="F29" s="19" t="n"/>
      <c r="G29" s="6" t="inlineStr">
        <is>
          <t>+5 урона в HP.</t>
        </is>
      </c>
    </row>
    <row r="30" ht="26" customHeight="1">
      <c r="B30" s="31" t="n">
        <v>10</v>
      </c>
      <c r="C30" s="21" t="inlineStr">
        <is>
          <t>Spinal Injury (Травма позвоночника)</t>
        </is>
      </c>
      <c r="D30" s="21" t="inlineStr">
        <is>
          <t>В следующем ходу нельзя использовать Действие (можно Перемещаться). +1 к Base Death Save Penalty.  ·  Quick Fix: Paramedic DV15  ·  Лечение: Surgery DV15</t>
        </is>
      </c>
      <c r="E30" s="18" t="n"/>
      <c r="F30" s="19" t="n"/>
      <c r="G30" s="6" t="inlineStr">
        <is>
          <t>+5 урона в HP.</t>
        </is>
      </c>
    </row>
    <row r="31" ht="26" customHeight="1">
      <c r="B31" s="31" t="n">
        <v>11</v>
      </c>
      <c r="C31" s="21" t="inlineStr">
        <is>
          <t>Crushed Fingers (Раздавленные пальцы)</t>
        </is>
      </c>
      <c r="D31" s="21" t="inlineStr">
        <is>
          <t>−4 ко всем Действиям этой кистью.  ·  Quick Fix: Paramedic DV13  ·  Лечение: Surgery DV15</t>
        </is>
      </c>
      <c r="E31" s="18" t="n"/>
      <c r="F31" s="19" t="n"/>
      <c r="G31" s="6" t="inlineStr">
        <is>
          <t>+5 урона в HP.</t>
        </is>
      </c>
    </row>
    <row r="32" ht="26" customHeight="1">
      <c r="B32" s="31" t="n">
        <v>12</v>
      </c>
      <c r="C32" s="21" t="inlineStr">
        <is>
          <t>Dismembered Leg (Отрубленная нога)</t>
        </is>
      </c>
      <c r="D32" s="21" t="inlineStr">
        <is>
          <t>−6 MOVE (мин. 1). Нельзя уклоняться. +1 к Base Death Save Penalty.  ·  Quick Fix: —  ·  Лечение: Surgery DV17</t>
        </is>
      </c>
      <c r="E32" s="18" t="n"/>
      <c r="F32" s="19" t="n"/>
      <c r="G32" s="6" t="inlineStr">
        <is>
          <t>+5 урона в HP.</t>
        </is>
      </c>
    </row>
    <row r="35">
      <c r="B35" s="17" t="inlineStr">
        <is>
          <t>ТАБЛИЦА 2D6 · КРИТИЧЕСКИЕ ТРАВМЫ ГОЛОВЫ (ТОЛЬКО ПРИЦЕЛЬНЫЙ В ГОЛОВУ)</t>
        </is>
      </c>
    </row>
    <row r="36">
      <c r="B36" s="20" t="inlineStr">
        <is>
          <t>2D6</t>
        </is>
      </c>
      <c r="C36" s="20" t="inlineStr">
        <is>
          <t>ТРАВМА</t>
        </is>
      </c>
      <c r="D36" s="20" t="inlineStr">
        <is>
          <t>ЭФФЕКТ · БЫСТРЫЙ ФИКС · ЛЕЧЕНИЕ</t>
        </is>
      </c>
      <c r="G36" s="20" t="inlineStr">
        <is>
          <t>ДЛЯ СТОЛА</t>
        </is>
      </c>
    </row>
    <row r="37" ht="26" customHeight="1">
      <c r="B37" s="31" t="n">
        <v>2</v>
      </c>
      <c r="C37" s="21" t="inlineStr">
        <is>
          <t>Lost Eye (Потеря глаза)</t>
        </is>
      </c>
      <c r="D37" s="21" t="inlineStr">
        <is>
          <t>Глаза больше нет. −4 к атакам дальнего боя и зрительным Perception. +1 к Base Death Save Penalty.  ·  Quick Fix: —  ·  Лечение: Surgery DV17</t>
        </is>
      </c>
      <c r="E37" s="18" t="n"/>
      <c r="F37" s="19" t="n"/>
      <c r="G37" s="6" t="inlineStr">
        <is>
          <t>+5 урона в HP.</t>
        </is>
      </c>
    </row>
    <row r="38" ht="26" customHeight="1">
      <c r="B38" s="31" t="n">
        <v>3</v>
      </c>
      <c r="C38" s="21" t="inlineStr">
        <is>
          <t>Brain Injury (Черепно-мозговая травма)</t>
        </is>
      </c>
      <c r="D38" s="21" t="inlineStr">
        <is>
          <t>−2 ко всем Действиям. +1 к Base Death Save Penalty.  ·  Quick Fix: —  ·  Лечение: Surgery DV17</t>
        </is>
      </c>
      <c r="E38" s="18" t="n"/>
      <c r="F38" s="19" t="n"/>
      <c r="G38" s="6" t="inlineStr">
        <is>
          <t>+5 урона в HP.</t>
        </is>
      </c>
    </row>
    <row r="39" ht="26" customHeight="1">
      <c r="B39" s="31" t="n">
        <v>4</v>
      </c>
      <c r="C39" s="21" t="inlineStr">
        <is>
          <t>Damaged Eye (Повреждение глаза)</t>
        </is>
      </c>
      <c r="D39" s="21" t="inlineStr">
        <is>
          <t>−2 к атакам дальнего боя и зрительным Perception.  ·  Quick Fix: Paramedic DV15  ·  Лечение: Surgery DV13</t>
        </is>
      </c>
      <c r="E39" s="18" t="n"/>
      <c r="F39" s="19" t="n"/>
      <c r="G39" s="6" t="inlineStr">
        <is>
          <t>+5 урона в HP.</t>
        </is>
      </c>
    </row>
    <row r="40" ht="26" customHeight="1">
      <c r="B40" s="31" t="n">
        <v>5</v>
      </c>
      <c r="C40" s="21" t="inlineStr">
        <is>
          <t>Concussion (Сотрясение)</t>
        </is>
      </c>
      <c r="D40" s="21" t="inlineStr">
        <is>
          <t>−2 ко всем Действиям.  ·  Quick Fix: First Aid или Paramedic DV13  ·  Лечение: Quick Fix убирает навсегда</t>
        </is>
      </c>
      <c r="E40" s="18" t="n"/>
      <c r="F40" s="19" t="n"/>
      <c r="G40" s="6" t="inlineStr">
        <is>
          <t>+5 урона в HP.</t>
        </is>
      </c>
    </row>
    <row r="41" ht="26" customHeight="1">
      <c r="B41" s="31" t="n">
        <v>6</v>
      </c>
      <c r="C41" s="21" t="inlineStr">
        <is>
          <t>Broken Jaw (Перелом челюсти)</t>
        </is>
      </c>
      <c r="D41" s="21" t="inlineStr">
        <is>
          <t>−4 ко всем Действиям, связанным с речью.  ·  Quick Fix: Paramedic DV13  ·  Лечение: Paramedic или Surgery DV13</t>
        </is>
      </c>
      <c r="E41" s="18" t="n"/>
      <c r="F41" s="19" t="n"/>
      <c r="G41" s="6" t="inlineStr">
        <is>
          <t>+5 урона в HP.</t>
        </is>
      </c>
    </row>
    <row r="42" ht="26" customHeight="1">
      <c r="B42" s="31" t="n">
        <v>7</v>
      </c>
      <c r="C42" s="21" t="inlineStr">
        <is>
          <t>Foreign Object (Инородное тело)</t>
        </is>
      </c>
      <c r="D42" s="21" t="inlineStr">
        <is>
          <t>При перемещении более 4 м на ногах — снова бонусный урон крит. травмы в конце хода.  ·  Quick Fix: First Aid или Paramedic DV13  ·  Лечение: Quick Fix убирает навсегда</t>
        </is>
      </c>
      <c r="E42" s="18" t="n"/>
      <c r="F42" s="19" t="n"/>
      <c r="G42" s="6" t="inlineStr">
        <is>
          <t>+5 урона в HP.</t>
        </is>
      </c>
    </row>
    <row r="43" ht="26" customHeight="1">
      <c r="B43" s="31" t="n">
        <v>8</v>
      </c>
      <c r="C43" s="21" t="inlineStr">
        <is>
          <t>Whiplash (Хлыстовая травма)</t>
        </is>
      </c>
      <c r="D43" s="21" t="inlineStr">
        <is>
          <t>+1 к Base Death Save Penalty.  ·  Quick Fix: Paramedic DV13  ·  Лечение: Paramedic или Surgery DV13</t>
        </is>
      </c>
      <c r="E43" s="18" t="n"/>
      <c r="F43" s="19" t="n"/>
      <c r="G43" s="6" t="inlineStr">
        <is>
          <t>+5 урона в HP.</t>
        </is>
      </c>
    </row>
    <row r="44" ht="26" customHeight="1">
      <c r="B44" s="31" t="n">
        <v>9</v>
      </c>
      <c r="C44" s="21" t="inlineStr">
        <is>
          <t>Cracked Skull (Треснувший череп)</t>
        </is>
      </c>
      <c r="D44" s="21" t="inlineStr">
        <is>
          <t>Прицельные атаки в голову дают модификатор ×3, а не ×2. +1 к Base Death Save Penalty.  ·  Quick Fix: Paramedic DV15  ·  Лечение: Paramedic или Surgery DV15</t>
        </is>
      </c>
      <c r="E44" s="18" t="n"/>
      <c r="F44" s="19" t="n"/>
      <c r="G44" s="6" t="inlineStr">
        <is>
          <t>+5 урона в HP.</t>
        </is>
      </c>
    </row>
    <row r="45" ht="26" customHeight="1">
      <c r="B45" s="31" t="n">
        <v>10</v>
      </c>
      <c r="C45" s="21" t="inlineStr">
        <is>
          <t>Damaged Ear (Повреждение уха)</t>
        </is>
      </c>
      <c r="D45" s="21" t="inlineStr">
        <is>
          <t>При перемещении более 4 м — нельзя перемещаться в следующем ходу. −2 к слуховым Perception.  ·  Quick Fix: Paramedic DV13  ·  Лечение: Surgery DV13</t>
        </is>
      </c>
      <c r="E45" s="18" t="n"/>
      <c r="F45" s="19" t="n"/>
      <c r="G45" s="6" t="inlineStr">
        <is>
          <t>+5 урона в HP.</t>
        </is>
      </c>
    </row>
    <row r="46" ht="26" customHeight="1">
      <c r="B46" s="31" t="n">
        <v>11</v>
      </c>
      <c r="C46" s="21" t="inlineStr">
        <is>
          <t>Crushed Windpipe (Раздавленная трахея)</t>
        </is>
      </c>
      <c r="D46" s="21" t="inlineStr">
        <is>
          <t>Нельзя говорить. +1 к Base Death Save Penalty.  ·  Quick Fix: —  ·  Лечение: Surgery DV15</t>
        </is>
      </c>
      <c r="E46" s="18" t="n"/>
      <c r="F46" s="19" t="n"/>
      <c r="G46" s="6" t="inlineStr">
        <is>
          <t>+5 урона в HP.</t>
        </is>
      </c>
    </row>
    <row r="47" ht="26" customHeight="1">
      <c r="B47" s="31" t="n">
        <v>12</v>
      </c>
      <c r="C47" s="21" t="inlineStr">
        <is>
          <t>Lost Ear (Потеря уха)</t>
        </is>
      </c>
      <c r="D47" s="21" t="inlineStr">
        <is>
          <t>Уха больше нет. При перемещении более 4 м — нельзя перемещаться в следующем ходу. −4 к слуховым Perception. +1 к Base Death Save Penalty.  ·  Quick Fix: —  ·  Лечение: Surgery DV17</t>
        </is>
      </c>
      <c r="E47" s="18" t="n"/>
      <c r="F47" s="19" t="n"/>
      <c r="G47" s="6" t="inlineStr">
        <is>
          <t>+5 урона в HP.</t>
        </is>
      </c>
    </row>
    <row r="50">
      <c r="B50" s="17" t="inlineStr">
        <is>
          <t>Ⅱ · СМЕРТЬ, СТАБИЛИЗАЦИЯ, ЗАВИСИМОСТИ</t>
        </is>
      </c>
    </row>
    <row r="51" ht="20" customHeight="1">
      <c r="B51" s="8" t="inlineStr">
        <is>
          <t>СТАБИЛИЗАЦИЯ: DV</t>
        </is>
      </c>
      <c r="C51" s="19" t="n"/>
      <c r="D51" s="21" t="inlineStr">
        <is>
          <t>Лёгкое DV10 · Серьёзное DV13 · Смертельное DV15 (успех → 1 HP и минута без сознания)</t>
        </is>
      </c>
      <c r="E51" s="18" t="n"/>
      <c r="F51" s="18" t="n"/>
      <c r="G51" s="18" t="n"/>
      <c r="H51" s="18" t="n"/>
      <c r="I51" s="18" t="n"/>
      <c r="J51" s="18" t="n"/>
      <c r="K51" s="18" t="n"/>
      <c r="L51" s="18" t="n"/>
      <c r="M51" s="19" t="n"/>
    </row>
    <row r="52" ht="20" customHeight="1">
      <c r="B52" s="8" t="inlineStr">
        <is>
          <t>СПАСБРОСОК СМЕРТИ</t>
        </is>
      </c>
      <c r="C52" s="19" t="n"/>
      <c r="D52" s="21" t="inlineStr">
        <is>
          <t>В начале каждого хода при HP &lt; 1: 1d10 ≤ BODY − штраф. Выпало 10 = провал = смерть.</t>
        </is>
      </c>
      <c r="E52" s="18" t="n"/>
      <c r="F52" s="18" t="n"/>
      <c r="G52" s="18" t="n"/>
      <c r="H52" s="18" t="n"/>
      <c r="I52" s="18" t="n"/>
      <c r="J52" s="18" t="n"/>
      <c r="K52" s="18" t="n"/>
      <c r="L52" s="18" t="n"/>
      <c r="M52" s="19" t="n"/>
    </row>
    <row r="53" ht="20" customHeight="1">
      <c r="B53" s="8" t="inlineStr">
        <is>
          <t>STIM / SPEEDHEAL</t>
        </is>
      </c>
      <c r="C53" s="19" t="n"/>
      <c r="D53" s="21" t="inlineStr">
        <is>
          <t>Stim снимает штрафы «серьёзно ранен» на час. Speedheal лечит BODY + WILL HP (1 раз в день).</t>
        </is>
      </c>
      <c r="E53" s="18" t="n"/>
      <c r="F53" s="18" t="n"/>
      <c r="G53" s="18" t="n"/>
      <c r="H53" s="18" t="n"/>
      <c r="I53" s="18" t="n"/>
      <c r="J53" s="18" t="n"/>
      <c r="K53" s="18" t="n"/>
      <c r="L53" s="18" t="n"/>
      <c r="M53" s="19" t="n"/>
    </row>
    <row r="54" ht="26" customHeight="1">
      <c r="B54" s="8" t="inlineStr">
        <is>
          <t>ЗАВИСИМОСТИ (ВВОД)</t>
        </is>
      </c>
      <c r="C54" s="19" t="n"/>
      <c r="D54" s="9" t="inlineStr">
        <is>
          <t>Нет. Пьёт, но не запойно.</t>
        </is>
      </c>
      <c r="E54" s="18" t="n"/>
      <c r="F54" s="18" t="n"/>
      <c r="G54" s="18" t="n"/>
      <c r="H54" s="18" t="n"/>
      <c r="I54" s="18" t="n"/>
      <c r="J54" s="18" t="n"/>
      <c r="K54" s="18" t="n"/>
      <c r="L54" s="18" t="n"/>
      <c r="M54" s="19" t="n"/>
    </row>
    <row r="55" ht="26" customHeight="1">
      <c r="B55" s="8" t="inlineStr">
        <is>
          <t>АБСТИНЕНЦИЯ И ТРИГГЕРЫ (ВВОД)</t>
        </is>
      </c>
      <c r="C55" s="19" t="n"/>
      <c r="D55" s="9" t="inlineStr">
        <is>
          <t>Триггер: сирена и запах горелого пластика — тот переулок, где погиб напарник.</t>
        </is>
      </c>
      <c r="E55" s="18" t="n"/>
      <c r="F55" s="18" t="n"/>
      <c r="G55" s="18" t="n"/>
      <c r="H55" s="18" t="n"/>
      <c r="I55" s="18" t="n"/>
      <c r="J55" s="18" t="n"/>
      <c r="K55" s="18" t="n"/>
      <c r="L55" s="18" t="n"/>
      <c r="M55" s="19" t="n"/>
    </row>
    <row r="56" ht="20" customHeight="1">
      <c r="B56" s="8" t="inlineStr">
        <is>
          <t>СНЯТИЕ ЗАВИСИМОСТИ</t>
        </is>
      </c>
      <c r="C56" s="19" t="n"/>
      <c r="D56" s="21" t="inlineStr">
        <is>
          <t>Терапия: 1 неделя, 1 000 €$ + материалы 500 €$, Medical Tech DV15 (лист 04).</t>
        </is>
      </c>
      <c r="E56" s="18" t="n"/>
      <c r="F56" s="18" t="n"/>
      <c r="G56" s="18" t="n"/>
      <c r="H56" s="18" t="n"/>
      <c r="I56" s="18" t="n"/>
      <c r="J56" s="18" t="n"/>
      <c r="K56" s="18" t="n"/>
      <c r="L56" s="18" t="n"/>
      <c r="M56" s="19" t="n"/>
    </row>
    <row r="58">
      <c r="B58" s="17" t="inlineStr">
        <is>
          <t>Ⅲ · РЕПУТАЦИЯ И УЛУЧШЕНИЯ (IP)</t>
        </is>
      </c>
    </row>
    <row r="59">
      <c r="B59" s="20" t="inlineStr">
        <is>
          <t>ПОКАЗАТЕЛЬ</t>
        </is>
      </c>
      <c r="D59" s="20" t="inlineStr">
        <is>
          <t>ЗНАЧЕНИЕ</t>
        </is>
      </c>
      <c r="E59" s="20" t="inlineStr">
        <is>
          <t>ПРАВИЛО</t>
        </is>
      </c>
    </row>
    <row r="60" ht="18" customHeight="1">
      <c r="B60" s="8" t="inlineStr">
        <is>
          <t>РЕПУТАЦИЯ</t>
        </is>
      </c>
      <c r="C60" s="19" t="n"/>
      <c r="D60" s="7" t="n">
        <v>0</v>
      </c>
      <c r="E60" s="21" t="inlineStr">
        <is>
          <t>Растёт за громкие дела: реакция улиц, кто берёт твой звонок, кто хочет тебя снять.</t>
        </is>
      </c>
      <c r="F60" s="18" t="n"/>
      <c r="G60" s="18" t="n"/>
      <c r="H60" s="18" t="n"/>
      <c r="I60" s="18" t="n"/>
      <c r="J60" s="18" t="n"/>
      <c r="K60" s="18" t="n"/>
      <c r="L60" s="18" t="n"/>
      <c r="M60" s="19" t="n"/>
    </row>
    <row r="61" ht="18" customHeight="1">
      <c r="B61" s="8" t="inlineStr">
        <is>
          <t>IP ЗАРАБОТАНО</t>
        </is>
      </c>
      <c r="C61" s="19" t="n"/>
      <c r="D61" s="7" t="n">
        <v>0</v>
      </c>
      <c r="E61" s="21" t="inlineStr">
        <is>
          <t>GM выдаёт после сессии: 10–50 за стиль игры, больше — за выполненное дело (лист СПРАВКА).</t>
        </is>
      </c>
      <c r="F61" s="18" t="n"/>
      <c r="G61" s="18" t="n"/>
      <c r="H61" s="18" t="n"/>
      <c r="I61" s="18" t="n"/>
      <c r="J61" s="18" t="n"/>
      <c r="K61" s="18" t="n"/>
      <c r="L61" s="18" t="n"/>
      <c r="M61" s="19" t="n"/>
    </row>
    <row r="62" ht="18" customHeight="1">
      <c r="B62" s="8" t="inlineStr">
        <is>
          <t>IP ПОТРАЧЕНО (АВТО)</t>
        </is>
      </c>
      <c r="C62" s="19" t="n"/>
      <c r="D62" s="30">
        <f>SUM($F$67:$F$76)</f>
        <v/>
      </c>
      <c r="E62" s="21" t="inlineStr">
        <is>
          <t>Сумма по таблице Ⅳ ниже.</t>
        </is>
      </c>
      <c r="F62" s="18" t="n"/>
      <c r="G62" s="18" t="n"/>
      <c r="H62" s="18" t="n"/>
      <c r="I62" s="18" t="n"/>
      <c r="J62" s="18" t="n"/>
      <c r="K62" s="18" t="n"/>
      <c r="L62" s="18" t="n"/>
      <c r="M62" s="19" t="n"/>
    </row>
    <row r="63" ht="18" customHeight="1">
      <c r="B63" s="8" t="inlineStr">
        <is>
          <t>IP СВОБОДНО</t>
        </is>
      </c>
      <c r="C63" s="19" t="n"/>
      <c r="D63" s="30">
        <f>$D$61-$D$62</f>
        <v/>
      </c>
      <c r="E63" s="21" t="inlineStr">
        <is>
          <t>Заработано минус потрачено.</t>
        </is>
      </c>
      <c r="F63" s="18" t="n"/>
      <c r="G63" s="18" t="n"/>
      <c r="H63" s="18" t="n"/>
      <c r="I63" s="18" t="n"/>
      <c r="J63" s="18" t="n"/>
      <c r="K63" s="18" t="n"/>
      <c r="L63" s="18" t="n"/>
      <c r="M63" s="19" t="n"/>
    </row>
    <row r="65">
      <c r="B65" s="17" t="inlineStr">
        <is>
          <t>Ⅳ · ЧТО УЛУЧШИЛИ ЗА IP  ·  СТОИМОСТЬ СЧИТАЕТСЯ АВТОМАТИЧЕСКИ</t>
        </is>
      </c>
    </row>
    <row r="66">
      <c r="B66" s="20" t="inlineStr">
        <is>
          <t>ДАТА</t>
        </is>
      </c>
      <c r="C66" s="20" t="inlineStr">
        <is>
          <t>ЧТО УЛУЧШИЛИ</t>
        </is>
      </c>
      <c r="D66" s="20" t="inlineStr">
        <is>
          <t>ТИП</t>
        </is>
      </c>
      <c r="E66" s="20" t="inlineStr">
        <is>
          <t>НОВЫЙ УР.</t>
        </is>
      </c>
      <c r="F66" s="20" t="inlineStr">
        <is>
          <t>СТОИМОСТЬ IP</t>
        </is>
      </c>
      <c r="G66" s="20" t="inlineStr">
        <is>
          <t>ЗАМЕТКА</t>
        </is>
      </c>
    </row>
    <row r="67" ht="18" customHeight="1">
      <c r="B67" s="9" t="n"/>
      <c r="C67" s="9" t="inlineStr">
        <is>
          <t>Evasion → 5</t>
        </is>
      </c>
      <c r="D67" s="7" t="inlineStr">
        <is>
          <t>НАВЫК</t>
        </is>
      </c>
      <c r="E67" s="7" t="n"/>
      <c r="F67" s="30">
        <f>IF(OR($E67="",$D67=""),"",IF($D67="РОЛЬ",60*$E67,IF($D67="НАВЫК ×2",40*$E67,IF($D67="НАВЫК",20*$E67,""))))</f>
        <v/>
      </c>
      <c r="G67" s="9" t="inlineStr">
        <is>
          <t>план · 100 IP · первый приоритет: уклонение 15 + d10</t>
        </is>
      </c>
      <c r="H67" s="18" t="n"/>
      <c r="I67" s="18" t="n"/>
      <c r="J67" s="18" t="n"/>
      <c r="K67" s="18" t="n"/>
      <c r="L67" s="18" t="n"/>
      <c r="M67" s="19" t="n"/>
    </row>
    <row r="68" ht="18" customHeight="1">
      <c r="B68" s="9" t="n"/>
      <c r="C68" s="9" t="inlineStr">
        <is>
          <t>Evasion → 6</t>
        </is>
      </c>
      <c r="D68" s="7" t="inlineStr">
        <is>
          <t>НАВЫК</t>
        </is>
      </c>
      <c r="E68" s="7" t="n"/>
      <c r="F68" s="30">
        <f>IF(OR($E68="",$D68=""),"",IF($D68="РОЛЬ",60*$E68,IF($D68="НАВЫК ×2",40*$E68,IF($D68="НАВЫК",20*$E68,""))))</f>
        <v/>
      </c>
      <c r="G68" s="9" t="inlineStr">
        <is>
          <t>план · 120 IP · уклонение 16 + d10</t>
        </is>
      </c>
      <c r="H68" s="18" t="n"/>
      <c r="I68" s="18" t="n"/>
      <c r="J68" s="18" t="n"/>
      <c r="K68" s="18" t="n"/>
      <c r="L68" s="18" t="n"/>
      <c r="M68" s="19" t="n"/>
    </row>
    <row r="69" ht="18" customHeight="1">
      <c r="B69" s="9" t="n"/>
      <c r="C69" s="9" t="inlineStr">
        <is>
          <t>Martial Arts (Thamoc) → 6</t>
        </is>
      </c>
      <c r="D69" s="7" t="inlineStr">
        <is>
          <t>НАВЫК</t>
        </is>
      </c>
      <c r="E69" s="7" t="n"/>
      <c r="F69" s="30">
        <f>IF(OR($E69="",$D69=""),"",IF($D69="РОЛЬ",60*$E69,IF($D69="НАВЫК ×2",40*$E69,IF($D69="НАВЫК",20*$E69,""))))</f>
        <v/>
      </c>
      <c r="G69" s="9" t="inlineStr">
        <is>
          <t>план · 240 IP (×2) — приёмы формы почти без провалов</t>
        </is>
      </c>
      <c r="H69" s="18" t="n"/>
      <c r="I69" s="18" t="n"/>
      <c r="J69" s="18" t="n"/>
      <c r="K69" s="18" t="n"/>
      <c r="L69" s="18" t="n"/>
      <c r="M69" s="19" t="n"/>
    </row>
    <row r="70" ht="18" customHeight="1">
      <c r="B70" s="9" t="n"/>
      <c r="C70" s="9" t="inlineStr">
        <is>
          <t>Brawling → 6</t>
        </is>
      </c>
      <c r="D70" s="7" t="inlineStr">
        <is>
          <t>НАВЫК</t>
        </is>
      </c>
      <c r="E70" s="7" t="n"/>
      <c r="F70" s="30">
        <f>IF(OR($E70="",$D70=""),"",IF($D70="РОЛЬ",60*$E70,IF($D70="НАВЫК ×2",40*$E70,IF($D70="НАВЫК",20*$E70,""))))</f>
        <v/>
      </c>
      <c r="G70" s="9" t="inlineStr">
        <is>
          <t>план · 120 IP</t>
        </is>
      </c>
      <c r="H70" s="18" t="n"/>
      <c r="I70" s="18" t="n"/>
      <c r="J70" s="18" t="n"/>
      <c r="K70" s="18" t="n"/>
      <c r="L70" s="18" t="n"/>
      <c r="M70" s="19" t="n"/>
    </row>
    <row r="71" ht="18" customHeight="1">
      <c r="B71" s="9" t="n"/>
      <c r="C71" s="9" t="inlineStr">
        <is>
          <t>Shoulder Arms → 6</t>
        </is>
      </c>
      <c r="D71" s="7" t="inlineStr">
        <is>
          <t>НАВЫК</t>
        </is>
      </c>
      <c r="E71" s="7" t="n"/>
      <c r="F71" s="30">
        <f>IF(OR($E71="",$D71=""),"",IF($D71="РОЛЬ",60*$E71,IF($D71="НАВЫК ×2",40*$E71,IF($D71="НАВЫК",20*$E71,""))))</f>
        <v/>
      </c>
      <c r="G71" s="9" t="inlineStr">
        <is>
          <t>план · 120 IP</t>
        </is>
      </c>
      <c r="H71" s="18" t="n"/>
      <c r="I71" s="18" t="n"/>
      <c r="J71" s="18" t="n"/>
      <c r="K71" s="18" t="n"/>
      <c r="L71" s="18" t="n"/>
      <c r="M71" s="19" t="n"/>
    </row>
    <row r="72" ht="18" customHeight="1">
      <c r="B72" s="9" t="n"/>
      <c r="C72" s="9" t="inlineStr">
        <is>
          <t>Tactics → 2</t>
        </is>
      </c>
      <c r="D72" s="7" t="inlineStr">
        <is>
          <t>НАВЫК</t>
        </is>
      </c>
      <c r="E72" s="7" t="n"/>
      <c r="F72" s="30">
        <f>IF(OR($E72="",$D72=""),"",IF($D72="РОЛЬ",60*$E72,IF($D72="НАВЫК ×2",40*$E72,IF($D72="НАВЫК",20*$E72,""))))</f>
        <v/>
      </c>
      <c r="G72" s="9" t="inlineStr">
        <is>
          <t>план · 20 + 40 = 60 IP (два шага)</t>
        </is>
      </c>
      <c r="H72" s="18" t="n"/>
      <c r="I72" s="18" t="n"/>
      <c r="J72" s="18" t="n"/>
      <c r="K72" s="18" t="n"/>
      <c r="L72" s="18" t="n"/>
      <c r="M72" s="19" t="n"/>
    </row>
    <row r="73" ht="18" customHeight="1">
      <c r="B73" s="9" t="n"/>
      <c r="C73" s="9" t="inlineStr">
        <is>
          <t>Human Perception → 3</t>
        </is>
      </c>
      <c r="D73" s="7" t="inlineStr">
        <is>
          <t>НАВЫК</t>
        </is>
      </c>
      <c r="E73" s="7" t="n"/>
      <c r="F73" s="30">
        <f>IF(OR($E73="",$D73=""),"",IF($D73="РОЛЬ",60*$E73,IF($D73="НАВЫК ×2",40*$E73,IF($D73="НАВЫК",20*$E73,""))))</f>
        <v/>
      </c>
      <c r="G73" s="9" t="inlineStr">
        <is>
          <t>план · 60 IP</t>
        </is>
      </c>
      <c r="H73" s="18" t="n"/>
      <c r="I73" s="18" t="n"/>
      <c r="J73" s="18" t="n"/>
      <c r="K73" s="18" t="n"/>
      <c r="L73" s="18" t="n"/>
      <c r="M73" s="19" t="n"/>
    </row>
    <row r="74" ht="18" customHeight="1">
      <c r="B74" s="9" t="n"/>
      <c r="C74" s="9" t="inlineStr">
        <is>
          <t>First Aid → 3</t>
        </is>
      </c>
      <c r="D74" s="7" t="inlineStr">
        <is>
          <t>НАВЫК</t>
        </is>
      </c>
      <c r="E74" s="7" t="n"/>
      <c r="F74" s="30">
        <f>IF(OR($E74="",$D74=""),"",IF($D74="РОЛЬ",60*$E74,IF($D74="НАВЫК ×2",40*$E74,IF($D74="НАВЫК",20*$E74,""))))</f>
        <v/>
      </c>
      <c r="G74" s="9" t="inlineStr">
        <is>
          <t>план · 60 IP</t>
        </is>
      </c>
      <c r="H74" s="18" t="n"/>
      <c r="I74" s="18" t="n"/>
      <c r="J74" s="18" t="n"/>
      <c r="K74" s="18" t="n"/>
      <c r="L74" s="18" t="n"/>
      <c r="M74" s="19" t="n"/>
    </row>
    <row r="75" ht="18" customHeight="1">
      <c r="B75" s="9" t="n"/>
      <c r="C75" s="9" t="inlineStr">
        <is>
          <t>РАНГ РОЛИ Lawman → 5</t>
        </is>
      </c>
      <c r="D75" s="7" t="inlineStr">
        <is>
          <t>РОЛЬ</t>
        </is>
      </c>
      <c r="E75" s="7" t="n"/>
      <c r="F75" s="30">
        <f>IF(OR($E75="",$D75=""),"",IF($D75="РОЛЬ",60*$E75,IF($D75="НАВЫК ×2",40*$E75,IF($D75="НАВЫК",20*$E75,""))))</f>
        <v/>
      </c>
      <c r="G75" s="9" t="inlineStr">
        <is>
          <t>план · 300 IP — тир подкрепления 5–7 (департамент шерифа)</t>
        </is>
      </c>
      <c r="H75" s="18" t="n"/>
      <c r="I75" s="18" t="n"/>
      <c r="J75" s="18" t="n"/>
      <c r="K75" s="18" t="n"/>
      <c r="L75" s="18" t="n"/>
      <c r="M75" s="19" t="n"/>
    </row>
    <row r="76" ht="18" customHeight="1">
      <c r="B76" s="9" t="n"/>
      <c r="C76" s="9" t="n"/>
      <c r="D76" s="7" t="inlineStr">
        <is>
          <t>НАВЫК</t>
        </is>
      </c>
      <c r="E76" s="7" t="n"/>
      <c r="F76" s="30">
        <f>IF(OR($E76="",$D76=""),"",IF($D76="РОЛЬ",60*$E76,IF($D76="НАВЫК ×2",40*$E76,IF($D76="НАВЫК",20*$E76,""))))</f>
        <v/>
      </c>
      <c r="G76" s="9" t="n"/>
      <c r="H76" s="18" t="n"/>
      <c r="I76" s="18" t="n"/>
      <c r="J76" s="18" t="n"/>
      <c r="K76" s="18" t="n"/>
      <c r="L76" s="18" t="n"/>
      <c r="M76" s="19" t="n"/>
    </row>
    <row r="77">
      <c r="B77" s="8" t="inlineStr">
        <is>
          <t>ИТОГО ПОТРАЧЕНО IP</t>
        </is>
      </c>
      <c r="C77" s="18" t="n"/>
      <c r="D77" s="18" t="n"/>
      <c r="E77" s="19" t="n"/>
      <c r="F77" s="30">
        <f>SUM($F$67:$F$76)</f>
        <v/>
      </c>
      <c r="G77" s="6" t="inlineStr">
        <is>
          <t>20 × уровень — обычный навык · 40 × уровень — навык (×2) · 60 × ранг — ролевая способность. Уровни не перескакивают.</t>
        </is>
      </c>
    </row>
    <row r="79">
      <c r="B79" s="17" t="inlineStr">
        <is>
          <t>Ⅴ · ЛОГ ДЕЛ (СЕССИИ)  ·  ЧТО БЫЛО И ЗА ЧТО ЗАПЛАТИЛИ</t>
        </is>
      </c>
    </row>
    <row r="80">
      <c r="B80" s="20" t="inlineStr">
        <is>
          <t>ДАТА</t>
        </is>
      </c>
      <c r="C80" s="20" t="inlineStr">
        <is>
          <t>ДЕЛО / СЕССИЯ</t>
        </is>
      </c>
      <c r="E80" s="20" t="inlineStr">
        <is>
          <t>РОЛЬ В ДЕЛЕ</t>
        </is>
      </c>
      <c r="F80" s="20" t="inlineStr">
        <is>
          <t>НАГРАДА €$</t>
        </is>
      </c>
      <c r="G80" s="20" t="inlineStr">
        <is>
          <t>IP</t>
        </is>
      </c>
      <c r="H80" s="20" t="inlineStr">
        <is>
          <t>ИТОГ / ЗАМЕТКА</t>
        </is>
      </c>
    </row>
    <row r="81" ht="18" customHeight="1">
      <c r="B81" s="9" t="n"/>
      <c r="C81" s="9" t="n"/>
      <c r="D81" s="19" t="n"/>
      <c r="E81" s="9" t="n"/>
      <c r="F81" s="41" t="n"/>
      <c r="G81" s="7" t="n"/>
      <c r="H81" s="9" t="n"/>
      <c r="I81" s="18" t="n"/>
      <c r="J81" s="18" t="n"/>
      <c r="K81" s="18" t="n"/>
      <c r="L81" s="18" t="n"/>
      <c r="M81" s="19" t="n"/>
    </row>
    <row r="82" ht="18" customHeight="1">
      <c r="B82" s="9" t="n"/>
      <c r="C82" s="9" t="n"/>
      <c r="D82" s="19" t="n"/>
      <c r="E82" s="9" t="n"/>
      <c r="F82" s="41" t="n"/>
      <c r="G82" s="7" t="n"/>
      <c r="H82" s="9" t="n"/>
      <c r="I82" s="18" t="n"/>
      <c r="J82" s="18" t="n"/>
      <c r="K82" s="18" t="n"/>
      <c r="L82" s="18" t="n"/>
      <c r="M82" s="19" t="n"/>
    </row>
    <row r="83" ht="18" customHeight="1">
      <c r="B83" s="9" t="n"/>
      <c r="C83" s="9" t="n"/>
      <c r="D83" s="19" t="n"/>
      <c r="E83" s="9" t="n"/>
      <c r="F83" s="41" t="n"/>
      <c r="G83" s="7" t="n"/>
      <c r="H83" s="9" t="n"/>
      <c r="I83" s="18" t="n"/>
      <c r="J83" s="18" t="n"/>
      <c r="K83" s="18" t="n"/>
      <c r="L83" s="18" t="n"/>
      <c r="M83" s="19" t="n"/>
    </row>
    <row r="84" ht="18" customHeight="1">
      <c r="B84" s="9" t="n"/>
      <c r="C84" s="9" t="n"/>
      <c r="D84" s="19" t="n"/>
      <c r="E84" s="9" t="n"/>
      <c r="F84" s="41" t="n"/>
      <c r="G84" s="7" t="n"/>
      <c r="H84" s="9" t="n"/>
      <c r="I84" s="18" t="n"/>
      <c r="J84" s="18" t="n"/>
      <c r="K84" s="18" t="n"/>
      <c r="L84" s="18" t="n"/>
      <c r="M84" s="19" t="n"/>
    </row>
    <row r="85" ht="18" customHeight="1">
      <c r="B85" s="9" t="n"/>
      <c r="C85" s="9" t="n"/>
      <c r="D85" s="19" t="n"/>
      <c r="E85" s="9" t="n"/>
      <c r="F85" s="41" t="n"/>
      <c r="G85" s="7" t="n"/>
      <c r="H85" s="9" t="n"/>
      <c r="I85" s="18" t="n"/>
      <c r="J85" s="18" t="n"/>
      <c r="K85" s="18" t="n"/>
      <c r="L85" s="18" t="n"/>
      <c r="M85" s="19" t="n"/>
    </row>
    <row r="86" ht="18" customHeight="1">
      <c r="B86" s="9" t="n"/>
      <c r="C86" s="9" t="n"/>
      <c r="D86" s="19" t="n"/>
      <c r="E86" s="9" t="n"/>
      <c r="F86" s="41" t="n"/>
      <c r="G86" s="7" t="n"/>
      <c r="H86" s="9" t="n"/>
      <c r="I86" s="18" t="n"/>
      <c r="J86" s="18" t="n"/>
      <c r="K86" s="18" t="n"/>
      <c r="L86" s="18" t="n"/>
      <c r="M86" s="19" t="n"/>
    </row>
    <row r="87" ht="18" customHeight="1">
      <c r="B87" s="9" t="n"/>
      <c r="C87" s="9" t="n"/>
      <c r="D87" s="19" t="n"/>
      <c r="E87" s="9" t="n"/>
      <c r="F87" s="41" t="n"/>
      <c r="G87" s="7" t="n"/>
      <c r="H87" s="9" t="n"/>
      <c r="I87" s="18" t="n"/>
      <c r="J87" s="18" t="n"/>
      <c r="K87" s="18" t="n"/>
      <c r="L87" s="18" t="n"/>
      <c r="M87" s="19" t="n"/>
    </row>
    <row r="88" ht="18" customHeight="1">
      <c r="B88" s="9" t="n"/>
      <c r="C88" s="9" t="n"/>
      <c r="D88" s="19" t="n"/>
      <c r="E88" s="9" t="n"/>
      <c r="F88" s="41" t="n"/>
      <c r="G88" s="7" t="n"/>
      <c r="H88" s="9" t="n"/>
      <c r="I88" s="18" t="n"/>
      <c r="J88" s="18" t="n"/>
      <c r="K88" s="18" t="n"/>
      <c r="L88" s="18" t="n"/>
      <c r="M88" s="19" t="n"/>
    </row>
    <row r="89" ht="18" customHeight="1">
      <c r="B89" s="9" t="n"/>
      <c r="C89" s="9" t="n"/>
      <c r="D89" s="19" t="n"/>
      <c r="E89" s="9" t="n"/>
      <c r="F89" s="41" t="n"/>
      <c r="G89" s="7" t="n"/>
      <c r="H89" s="9" t="n"/>
      <c r="I89" s="18" t="n"/>
      <c r="J89" s="18" t="n"/>
      <c r="K89" s="18" t="n"/>
      <c r="L89" s="18" t="n"/>
      <c r="M89" s="19" t="n"/>
    </row>
    <row r="90" ht="18" customHeight="1">
      <c r="B90" s="9" t="n"/>
      <c r="C90" s="9" t="n"/>
      <c r="D90" s="19" t="n"/>
      <c r="E90" s="9" t="n"/>
      <c r="F90" s="41" t="n"/>
      <c r="G90" s="7" t="n"/>
      <c r="H90" s="9" t="n"/>
      <c r="I90" s="18" t="n"/>
      <c r="J90" s="18" t="n"/>
      <c r="K90" s="18" t="n"/>
      <c r="L90" s="18" t="n"/>
      <c r="M90" s="19" t="n"/>
    </row>
    <row r="91" ht="18" customHeight="1">
      <c r="B91" s="9" t="n"/>
      <c r="C91" s="9" t="n"/>
      <c r="D91" s="19" t="n"/>
      <c r="E91" s="9" t="n"/>
      <c r="F91" s="41" t="n"/>
      <c r="G91" s="7" t="n"/>
      <c r="H91" s="9" t="n"/>
      <c r="I91" s="18" t="n"/>
      <c r="J91" s="18" t="n"/>
      <c r="K91" s="18" t="n"/>
      <c r="L91" s="18" t="n"/>
      <c r="M91" s="19" t="n"/>
    </row>
    <row r="92" ht="18" customHeight="1">
      <c r="B92" s="9" t="n"/>
      <c r="C92" s="9" t="n"/>
      <c r="D92" s="19" t="n"/>
      <c r="E92" s="9" t="n"/>
      <c r="F92" s="41" t="n"/>
      <c r="G92" s="7" t="n"/>
      <c r="H92" s="9" t="n"/>
      <c r="I92" s="18" t="n"/>
      <c r="J92" s="18" t="n"/>
      <c r="K92" s="18" t="n"/>
      <c r="L92" s="18" t="n"/>
      <c r="M92" s="19" t="n"/>
    </row>
    <row r="93" ht="18" customHeight="1">
      <c r="B93" s="9" t="n"/>
      <c r="C93" s="9" t="n"/>
      <c r="D93" s="19" t="n"/>
      <c r="E93" s="9" t="n"/>
      <c r="F93" s="41" t="n"/>
      <c r="G93" s="7" t="n"/>
      <c r="H93" s="9" t="n"/>
      <c r="I93" s="18" t="n"/>
      <c r="J93" s="18" t="n"/>
      <c r="K93" s="18" t="n"/>
      <c r="L93" s="18" t="n"/>
      <c r="M93" s="19" t="n"/>
    </row>
    <row r="94" ht="18" customHeight="1">
      <c r="B94" s="9" t="n"/>
      <c r="C94" s="9" t="n"/>
      <c r="D94" s="19" t="n"/>
      <c r="E94" s="9" t="n"/>
      <c r="F94" s="41" t="n"/>
      <c r="G94" s="7" t="n"/>
      <c r="H94" s="9" t="n"/>
      <c r="I94" s="18" t="n"/>
      <c r="J94" s="18" t="n"/>
      <c r="K94" s="18" t="n"/>
      <c r="L94" s="18" t="n"/>
      <c r="M94" s="19" t="n"/>
    </row>
    <row r="95" ht="18" customHeight="1">
      <c r="B95" s="9" t="n"/>
      <c r="C95" s="9" t="n"/>
      <c r="D95" s="19" t="n"/>
      <c r="E95" s="9" t="n"/>
      <c r="F95" s="41" t="n"/>
      <c r="G95" s="7" t="n"/>
      <c r="H95" s="9" t="n"/>
      <c r="I95" s="18" t="n"/>
      <c r="J95" s="18" t="n"/>
      <c r="K95" s="18" t="n"/>
      <c r="L95" s="18" t="n"/>
      <c r="M95" s="19" t="n"/>
    </row>
    <row r="96" ht="18" customHeight="1">
      <c r="B96" s="9" t="n"/>
      <c r="C96" s="9" t="n"/>
      <c r="D96" s="19" t="n"/>
      <c r="E96" s="9" t="n"/>
      <c r="F96" s="41" t="n"/>
      <c r="G96" s="7" t="n"/>
      <c r="H96" s="9" t="n"/>
      <c r="I96" s="18" t="n"/>
      <c r="J96" s="18" t="n"/>
      <c r="K96" s="18" t="n"/>
      <c r="L96" s="18" t="n"/>
      <c r="M96" s="19" t="n"/>
    </row>
    <row r="97" ht="18" customHeight="1">
      <c r="B97" s="9" t="n"/>
      <c r="C97" s="9" t="n"/>
      <c r="D97" s="19" t="n"/>
      <c r="E97" s="9" t="n"/>
      <c r="F97" s="41" t="n"/>
      <c r="G97" s="7" t="n"/>
      <c r="H97" s="9" t="n"/>
      <c r="I97" s="18" t="n"/>
      <c r="J97" s="18" t="n"/>
      <c r="K97" s="18" t="n"/>
      <c r="L97" s="18" t="n"/>
      <c r="M97" s="19" t="n"/>
    </row>
    <row r="98" ht="18" customHeight="1">
      <c r="B98" s="9" t="n"/>
      <c r="C98" s="9" t="n"/>
      <c r="D98" s="19" t="n"/>
      <c r="E98" s="9" t="n"/>
      <c r="F98" s="41" t="n"/>
      <c r="G98" s="7" t="n"/>
      <c r="H98" s="9" t="n"/>
      <c r="I98" s="18" t="n"/>
      <c r="J98" s="18" t="n"/>
      <c r="K98" s="18" t="n"/>
      <c r="L98" s="18" t="n"/>
      <c r="M98" s="19" t="n"/>
    </row>
    <row r="99" ht="18" customHeight="1">
      <c r="B99" s="9" t="n"/>
      <c r="C99" s="9" t="n"/>
      <c r="D99" s="19" t="n"/>
      <c r="E99" s="9" t="n"/>
      <c r="F99" s="41" t="n"/>
      <c r="G99" s="7" t="n"/>
      <c r="H99" s="9" t="n"/>
      <c r="I99" s="18" t="n"/>
      <c r="J99" s="18" t="n"/>
      <c r="K99" s="18" t="n"/>
      <c r="L99" s="18" t="n"/>
      <c r="M99" s="19" t="n"/>
    </row>
    <row r="100" ht="18" customHeight="1">
      <c r="B100" s="9" t="n"/>
      <c r="C100" s="9" t="n"/>
      <c r="D100" s="19" t="n"/>
      <c r="E100" s="9" t="n"/>
      <c r="F100" s="41" t="n"/>
      <c r="G100" s="7" t="n"/>
      <c r="H100" s="9" t="n"/>
      <c r="I100" s="18" t="n"/>
      <c r="J100" s="18" t="n"/>
      <c r="K100" s="18" t="n"/>
      <c r="L100" s="18" t="n"/>
      <c r="M100" s="19" t="n"/>
    </row>
    <row r="101">
      <c r="B101" s="8" t="inlineStr">
        <is>
          <t>ИТОГО ЗА КАМПАНИЮ</t>
        </is>
      </c>
      <c r="C101" s="18" t="n"/>
      <c r="D101" s="18" t="n"/>
      <c r="E101" s="19" t="n"/>
      <c r="F101" s="40">
        <f>SUM($F$81:$F$100)</f>
        <v/>
      </c>
      <c r="G101" s="30">
        <f>SUM($G$81:$G$100)</f>
        <v/>
      </c>
      <c r="H101" s="6" t="inlineStr">
        <is>
          <t>Сверь IP с полем «IP заработано» выше.</t>
        </is>
      </c>
    </row>
    <row r="103">
      <c r="B103" s="17" t="inlineStr">
        <is>
          <t>Ⅵ · ДОЛГИ, ЦЕЛИ И КРЮЧКИ</t>
        </is>
      </c>
    </row>
    <row r="104" ht="22" customHeight="1">
      <c r="B104" s="8" t="inlineStr">
        <is>
          <t>ДОЛГИ И ОБЯЗАТЕЛЬСТВА (КОМУ, ЧТО, КОГДА)</t>
        </is>
      </c>
      <c r="C104" s="19" t="n"/>
      <c r="D104" s="9" t="inlineStr">
        <is>
          <t>Наличных на старте нет — вышел из управления с нулём, всё до последнего евродоллара ушло в снаряжение. Жильё — контейнер в боевых зонах: жильё 1 000 €$ + Kibble 100 €$/мес = 1 100 €$ к 1-му числу каждого месяца (первый месяц покрыт). Подписок нет: Trauma Team Silver (500 €$/мес) не по карману — копит на разовый вызов с первых дел. Долгов нет, кредитная история убита вместе с карьерой.</t>
        </is>
      </c>
      <c r="E104" s="23" t="n"/>
      <c r="F104" s="23" t="n"/>
      <c r="G104" s="23" t="n"/>
      <c r="H104" s="23" t="n"/>
      <c r="I104" s="23" t="n"/>
      <c r="J104" s="23" t="n"/>
      <c r="K104" s="23" t="n"/>
      <c r="L104" s="23" t="n"/>
      <c r="M104" s="24" t="n"/>
    </row>
    <row r="105" ht="22" customHeight="1">
      <c r="D105" s="27" t="n"/>
      <c r="E105" s="28" t="n"/>
      <c r="F105" s="28" t="n"/>
      <c r="G105" s="28" t="n"/>
      <c r="H105" s="28" t="n"/>
      <c r="I105" s="28" t="n"/>
      <c r="J105" s="28" t="n"/>
      <c r="K105" s="28" t="n"/>
      <c r="L105" s="28" t="n"/>
      <c r="M105" s="29" t="n"/>
    </row>
    <row r="106" ht="22" customHeight="1">
      <c r="B106" s="8" t="inlineStr">
        <is>
          <t>ЖИЗНЕННЫЕ ЦЕЛИ / КРЮЧКИ ДЛЯ GM</t>
        </is>
      </c>
      <c r="C106" s="19" t="n"/>
      <c r="D106" s="9" t="inlineStr">
        <is>
          <t>Закрыть дело о корпоративном складе и вернуть себе имя. Найти, кому в управлении это было выгодно.</t>
        </is>
      </c>
      <c r="E106" s="23" t="n"/>
      <c r="F106" s="23" t="n"/>
      <c r="G106" s="23" t="n"/>
      <c r="H106" s="23" t="n"/>
      <c r="I106" s="23" t="n"/>
      <c r="J106" s="23" t="n"/>
      <c r="K106" s="23" t="n"/>
      <c r="L106" s="23" t="n"/>
      <c r="M106" s="24" t="n"/>
    </row>
    <row r="107" ht="22" customHeight="1">
      <c r="D107" s="27" t="n"/>
      <c r="E107" s="28" t="n"/>
      <c r="F107" s="28" t="n"/>
      <c r="G107" s="28" t="n"/>
      <c r="H107" s="28" t="n"/>
      <c r="I107" s="28" t="n"/>
      <c r="J107" s="28" t="n"/>
      <c r="K107" s="28" t="n"/>
      <c r="L107" s="28" t="n"/>
      <c r="M107" s="29" t="n"/>
    </row>
    <row r="108" ht="22" customHeight="1">
      <c r="B108" s="8" t="inlineStr">
        <is>
          <t>ТАБУ И ТРИГГЕРЫ (ОТ ИГРОКА)</t>
        </is>
      </c>
      <c r="C108" s="19" t="n"/>
      <c r="D108" s="9" t="inlineStr">
        <is>
          <t>Не трогает детей. Не работает против копов — даже против тех, кто его выкинул.</t>
        </is>
      </c>
      <c r="E108" s="23" t="n"/>
      <c r="F108" s="23" t="n"/>
      <c r="G108" s="23" t="n"/>
      <c r="H108" s="23" t="n"/>
      <c r="I108" s="23" t="n"/>
      <c r="J108" s="23" t="n"/>
      <c r="K108" s="23" t="n"/>
      <c r="L108" s="23" t="n"/>
      <c r="M108" s="24" t="n"/>
    </row>
    <row r="109" ht="22" customHeight="1">
      <c r="D109" s="27" t="n"/>
      <c r="E109" s="28" t="n"/>
      <c r="F109" s="28" t="n"/>
      <c r="G109" s="28" t="n"/>
      <c r="H109" s="28" t="n"/>
      <c r="I109" s="28" t="n"/>
      <c r="J109" s="28" t="n"/>
      <c r="K109" s="28" t="n"/>
      <c r="L109" s="28" t="n"/>
      <c r="M109" s="29" t="n"/>
    </row>
    <row r="111">
      <c r="B111" s="6" t="inlineStr">
        <is>
          <t>Источники: Cyberpunk RED Corebook (стр. 79, 129, 186–190, 223, 229, 408), CEMK Rule Book (2070-е: стр. 26–30), гайд «Spes Desperata». Лист — домашний инструмент кампании.</t>
        </is>
      </c>
    </row>
  </sheetData>
  <mergeCells count="160">
    <mergeCell ref="H98:M98"/>
    <mergeCell ref="E63:M63"/>
    <mergeCell ref="C98:D98"/>
    <mergeCell ref="H88:M88"/>
    <mergeCell ref="C89:D89"/>
    <mergeCell ref="D108:M109"/>
    <mergeCell ref="D47:F47"/>
    <mergeCell ref="D28:F28"/>
    <mergeCell ref="G75:M75"/>
    <mergeCell ref="G22:M22"/>
    <mergeCell ref="H90:M90"/>
    <mergeCell ref="D37:F37"/>
    <mergeCell ref="J17:M17"/>
    <mergeCell ref="H99:M99"/>
    <mergeCell ref="B61:C61"/>
    <mergeCell ref="C93:D93"/>
    <mergeCell ref="G77:M77"/>
    <mergeCell ref="D30:F30"/>
    <mergeCell ref="D39:F39"/>
    <mergeCell ref="H101:M101"/>
    <mergeCell ref="B6:M6"/>
    <mergeCell ref="G67:M67"/>
    <mergeCell ref="D29:F29"/>
    <mergeCell ref="G39:M39"/>
    <mergeCell ref="D23:F23"/>
    <mergeCell ref="G70:M70"/>
    <mergeCell ref="J9:M9"/>
    <mergeCell ref="B79:M79"/>
    <mergeCell ref="G38:M38"/>
    <mergeCell ref="B101:E101"/>
    <mergeCell ref="B55:C55"/>
    <mergeCell ref="B104:C104"/>
    <mergeCell ref="B51:C51"/>
    <mergeCell ref="B63:C63"/>
    <mergeCell ref="G24:M24"/>
    <mergeCell ref="B106:C106"/>
    <mergeCell ref="C83:D83"/>
    <mergeCell ref="C92:D92"/>
    <mergeCell ref="B111:M111"/>
    <mergeCell ref="D27:F27"/>
    <mergeCell ref="D41:F41"/>
    <mergeCell ref="B3:C3"/>
    <mergeCell ref="G26:M26"/>
    <mergeCell ref="H89:M89"/>
    <mergeCell ref="C97:D97"/>
    <mergeCell ref="D55:M55"/>
    <mergeCell ref="G76:M76"/>
    <mergeCell ref="G25:M25"/>
    <mergeCell ref="D43:F43"/>
    <mergeCell ref="H81:M81"/>
    <mergeCell ref="D54:M54"/>
    <mergeCell ref="J8:M8"/>
    <mergeCell ref="D25:F25"/>
    <mergeCell ref="H87:M87"/>
    <mergeCell ref="G42:M42"/>
    <mergeCell ref="B53:C53"/>
    <mergeCell ref="J10:M10"/>
    <mergeCell ref="C90:D90"/>
    <mergeCell ref="B20:M20"/>
    <mergeCell ref="B77:E77"/>
    <mergeCell ref="H91:M91"/>
    <mergeCell ref="B4:M4"/>
    <mergeCell ref="G28:M28"/>
    <mergeCell ref="H82:M82"/>
    <mergeCell ref="G37:M37"/>
    <mergeCell ref="C91:D91"/>
    <mergeCell ref="C82:D82"/>
    <mergeCell ref="G69:M69"/>
    <mergeCell ref="D31:F31"/>
    <mergeCell ref="D46:F46"/>
    <mergeCell ref="H93:M93"/>
    <mergeCell ref="D40:F40"/>
    <mergeCell ref="J11:M11"/>
    <mergeCell ref="G30:M30"/>
    <mergeCell ref="D21:F21"/>
    <mergeCell ref="H83:M83"/>
    <mergeCell ref="B54:C54"/>
    <mergeCell ref="C86:D86"/>
    <mergeCell ref="D32:F32"/>
    <mergeCell ref="H85:M85"/>
    <mergeCell ref="G73:M73"/>
    <mergeCell ref="H94:M94"/>
    <mergeCell ref="J12:M12"/>
    <mergeCell ref="B56:C56"/>
    <mergeCell ref="G32:M32"/>
    <mergeCell ref="D51:M51"/>
    <mergeCell ref="G41:M41"/>
    <mergeCell ref="B52:C52"/>
    <mergeCell ref="C85:D85"/>
    <mergeCell ref="C100:D100"/>
    <mergeCell ref="C94:D94"/>
    <mergeCell ref="E61:M61"/>
    <mergeCell ref="H80:M80"/>
    <mergeCell ref="G43:M43"/>
    <mergeCell ref="B60:C60"/>
    <mergeCell ref="C84:D84"/>
    <mergeCell ref="C80:D80"/>
    <mergeCell ref="B65:M65"/>
    <mergeCell ref="H96:M96"/>
    <mergeCell ref="G27:M27"/>
    <mergeCell ref="D42:F42"/>
    <mergeCell ref="G36:M36"/>
    <mergeCell ref="C95:D95"/>
    <mergeCell ref="B50:M50"/>
    <mergeCell ref="D44:F44"/>
    <mergeCell ref="B108:C108"/>
    <mergeCell ref="B2:E2"/>
    <mergeCell ref="G66:M66"/>
    <mergeCell ref="G74:M74"/>
    <mergeCell ref="D22:F22"/>
    <mergeCell ref="G68:M68"/>
    <mergeCell ref="D36:F36"/>
    <mergeCell ref="D45:F45"/>
    <mergeCell ref="J16:M16"/>
    <mergeCell ref="G45:M45"/>
    <mergeCell ref="B62:C62"/>
    <mergeCell ref="D56:M56"/>
    <mergeCell ref="B59:C59"/>
    <mergeCell ref="G29:M29"/>
    <mergeCell ref="E60:M60"/>
    <mergeCell ref="J2:M2"/>
    <mergeCell ref="B1:M1"/>
    <mergeCell ref="G47:M47"/>
    <mergeCell ref="C88:D88"/>
    <mergeCell ref="G44:M44"/>
    <mergeCell ref="H100:M100"/>
    <mergeCell ref="B103:M103"/>
    <mergeCell ref="G31:M31"/>
    <mergeCell ref="G46:M46"/>
    <mergeCell ref="E59:M59"/>
    <mergeCell ref="G40:M40"/>
    <mergeCell ref="H84:M84"/>
    <mergeCell ref="G72:M72"/>
    <mergeCell ref="D104:M105"/>
    <mergeCell ref="G21:M21"/>
    <mergeCell ref="C99:D99"/>
    <mergeCell ref="J14:M14"/>
    <mergeCell ref="H3:M3"/>
    <mergeCell ref="D24:F24"/>
    <mergeCell ref="G71:M71"/>
    <mergeCell ref="H86:M86"/>
    <mergeCell ref="D38:F38"/>
    <mergeCell ref="H95:M95"/>
    <mergeCell ref="J13:M13"/>
    <mergeCell ref="G23:M23"/>
    <mergeCell ref="D106:M107"/>
    <mergeCell ref="D52:M52"/>
    <mergeCell ref="H92:M92"/>
    <mergeCell ref="D26:F26"/>
    <mergeCell ref="H97:M97"/>
    <mergeCell ref="J15:M15"/>
    <mergeCell ref="B35:M35"/>
    <mergeCell ref="E62:M62"/>
    <mergeCell ref="C81:D81"/>
    <mergeCell ref="D53:M53"/>
    <mergeCell ref="B18:M18"/>
    <mergeCell ref="B58:M58"/>
    <mergeCell ref="C96:D96"/>
    <mergeCell ref="J7:M7"/>
    <mergeCell ref="C87:D87"/>
  </mergeCells>
  <conditionalFormatting sqref="I2">
    <cfRule type="expression" priority="1" dxfId="1" stopIfTrue="0">
      <formula>OR(LEFT($I$2,1)="С",LEFT($I$2,1)="М")</formula>
    </cfRule>
  </conditionalFormatting>
  <conditionalFormatting sqref="D63">
    <cfRule type="expression" priority="2" dxfId="1" stopIfTrue="0">
      <formula>$D$63&lt;0</formula>
    </cfRule>
  </conditionalFormatting>
  <conditionalFormatting sqref="I8:I17">
    <cfRule type="expression" priority="3" dxfId="1" stopIfTrue="0">
      <formula>$I8="Активна"</formula>
    </cfRule>
  </conditionalFormatting>
  <dataValidations count="40">
    <dataValidation sqref="C8" showDropDown="0" showInputMessage="0" showErrorMessage="0" allowBlank="1" type="list">
      <formula1>"Тело,Голова"</formula1>
    </dataValidation>
    <dataValidation sqref="D8" showDropDown="0" showInputMessage="0" showErrorMessage="0" allowBlank="1" type="whole" operator="between">
      <formula1>2</formula1>
      <formula2>12</formula2>
    </dataValidation>
    <dataValidation sqref="I8" showDropDown="0" showInputMessage="0" showErrorMessage="0" allowBlank="1" type="list">
      <formula1>"Активна,Вылечена,Нет"</formula1>
    </dataValidation>
    <dataValidation sqref="C9" showDropDown="0" showInputMessage="0" showErrorMessage="0" allowBlank="1" type="list">
      <formula1>"Тело,Голова"</formula1>
    </dataValidation>
    <dataValidation sqref="D9" showDropDown="0" showInputMessage="0" showErrorMessage="0" allowBlank="1" type="whole" operator="between">
      <formula1>2</formula1>
      <formula2>12</formula2>
    </dataValidation>
    <dataValidation sqref="I9" showDropDown="0" showInputMessage="0" showErrorMessage="0" allowBlank="1" type="list">
      <formula1>"Активна,Вылечена,Нет"</formula1>
    </dataValidation>
    <dataValidation sqref="C10" showDropDown="0" showInputMessage="0" showErrorMessage="0" allowBlank="1" type="list">
      <formula1>"Тело,Голова"</formula1>
    </dataValidation>
    <dataValidation sqref="D10" showDropDown="0" showInputMessage="0" showErrorMessage="0" allowBlank="1" type="whole" operator="between">
      <formula1>2</formula1>
      <formula2>12</formula2>
    </dataValidation>
    <dataValidation sqref="I10" showDropDown="0" showInputMessage="0" showErrorMessage="0" allowBlank="1" type="list">
      <formula1>"Активна,Вылечена,Нет"</formula1>
    </dataValidation>
    <dataValidation sqref="C11" showDropDown="0" showInputMessage="0" showErrorMessage="0" allowBlank="1" type="list">
      <formula1>"Тело,Голова"</formula1>
    </dataValidation>
    <dataValidation sqref="D11" showDropDown="0" showInputMessage="0" showErrorMessage="0" allowBlank="1" type="whole" operator="between">
      <formula1>2</formula1>
      <formula2>12</formula2>
    </dataValidation>
    <dataValidation sqref="I11" showDropDown="0" showInputMessage="0" showErrorMessage="0" allowBlank="1" type="list">
      <formula1>"Активна,Вылечена,Нет"</formula1>
    </dataValidation>
    <dataValidation sqref="C12" showDropDown="0" showInputMessage="0" showErrorMessage="0" allowBlank="1" type="list">
      <formula1>"Тело,Голова"</formula1>
    </dataValidation>
    <dataValidation sqref="D12" showDropDown="0" showInputMessage="0" showErrorMessage="0" allowBlank="1" type="whole" operator="between">
      <formula1>2</formula1>
      <formula2>12</formula2>
    </dataValidation>
    <dataValidation sqref="I12" showDropDown="0" showInputMessage="0" showErrorMessage="0" allowBlank="1" type="list">
      <formula1>"Активна,Вылечена,Нет"</formula1>
    </dataValidation>
    <dataValidation sqref="C13" showDropDown="0" showInputMessage="0" showErrorMessage="0" allowBlank="1" type="list">
      <formula1>"Тело,Голова"</formula1>
    </dataValidation>
    <dataValidation sqref="D13" showDropDown="0" showInputMessage="0" showErrorMessage="0" allowBlank="1" type="whole" operator="between">
      <formula1>2</formula1>
      <formula2>12</formula2>
    </dataValidation>
    <dataValidation sqref="I13" showDropDown="0" showInputMessage="0" showErrorMessage="0" allowBlank="1" type="list">
      <formula1>"Активна,Вылечена,Нет"</formula1>
    </dataValidation>
    <dataValidation sqref="C14" showDropDown="0" showInputMessage="0" showErrorMessage="0" allowBlank="1" type="list">
      <formula1>"Тело,Голова"</formula1>
    </dataValidation>
    <dataValidation sqref="D14" showDropDown="0" showInputMessage="0" showErrorMessage="0" allowBlank="1" type="whole" operator="between">
      <formula1>2</formula1>
      <formula2>12</formula2>
    </dataValidation>
    <dataValidation sqref="I14" showDropDown="0" showInputMessage="0" showErrorMessage="0" allowBlank="1" type="list">
      <formula1>"Активна,Вылечена,Нет"</formula1>
    </dataValidation>
    <dataValidation sqref="C15" showDropDown="0" showInputMessage="0" showErrorMessage="0" allowBlank="1" type="list">
      <formula1>"Тело,Голова"</formula1>
    </dataValidation>
    <dataValidation sqref="D15" showDropDown="0" showInputMessage="0" showErrorMessage="0" allowBlank="1" type="whole" operator="between">
      <formula1>2</formula1>
      <formula2>12</formula2>
    </dataValidation>
    <dataValidation sqref="I15" showDropDown="0" showInputMessage="0" showErrorMessage="0" allowBlank="1" type="list">
      <formula1>"Активна,Вылечена,Нет"</formula1>
    </dataValidation>
    <dataValidation sqref="C16" showDropDown="0" showInputMessage="0" showErrorMessage="0" allowBlank="1" type="list">
      <formula1>"Тело,Голова"</formula1>
    </dataValidation>
    <dataValidation sqref="D16" showDropDown="0" showInputMessage="0" showErrorMessage="0" allowBlank="1" type="whole" operator="between">
      <formula1>2</formula1>
      <formula2>12</formula2>
    </dataValidation>
    <dataValidation sqref="I16" showDropDown="0" showInputMessage="0" showErrorMessage="0" allowBlank="1" type="list">
      <formula1>"Активна,Вылечена,Нет"</formula1>
    </dataValidation>
    <dataValidation sqref="C17" showDropDown="0" showInputMessage="0" showErrorMessage="0" allowBlank="1" type="list">
      <formula1>"Тело,Голова"</formula1>
    </dataValidation>
    <dataValidation sqref="D17" showDropDown="0" showInputMessage="0" showErrorMessage="0" allowBlank="1" type="whole" operator="between">
      <formula1>2</formula1>
      <formula2>12</formula2>
    </dataValidation>
    <dataValidation sqref="I17" showDropDown="0" showInputMessage="0" showErrorMessage="0" allowBlank="1" type="list">
      <formula1>"Активна,Вылечена,Нет"</formula1>
    </dataValidation>
    <dataValidation sqref="D67" showDropDown="0" showInputMessage="0" showErrorMessage="0" allowBlank="1" type="list">
      <formula1>"НАВЫК,НАВЫК ×2,РОЛЬ,СТАТА (GM)"</formula1>
    </dataValidation>
    <dataValidation sqref="D68" showDropDown="0" showInputMessage="0" showErrorMessage="0" allowBlank="1" type="list">
      <formula1>"НАВЫК,НАВЫК ×2,РОЛЬ,СТАТА (GM)"</formula1>
    </dataValidation>
    <dataValidation sqref="D69" showDropDown="0" showInputMessage="0" showErrorMessage="0" allowBlank="1" type="list">
      <formula1>"НАВЫК,НАВЫК ×2,РОЛЬ,СТАТА (GM)"</formula1>
    </dataValidation>
    <dataValidation sqref="D70" showDropDown="0" showInputMessage="0" showErrorMessage="0" allowBlank="1" type="list">
      <formula1>"НАВЫК,НАВЫК ×2,РОЛЬ,СТАТА (GM)"</formula1>
    </dataValidation>
    <dataValidation sqref="D71" showDropDown="0" showInputMessage="0" showErrorMessage="0" allowBlank="1" type="list">
      <formula1>"НАВЫК,НАВЫК ×2,РОЛЬ,СТАТА (GM)"</formula1>
    </dataValidation>
    <dataValidation sqref="D72" showDropDown="0" showInputMessage="0" showErrorMessage="0" allowBlank="1" type="list">
      <formula1>"НАВЫК,НАВЫК ×2,РОЛЬ,СТАТА (GM)"</formula1>
    </dataValidation>
    <dataValidation sqref="D73" showDropDown="0" showInputMessage="0" showErrorMessage="0" allowBlank="1" type="list">
      <formula1>"НАВЫК,НАВЫК ×2,РОЛЬ,СТАТА (GM)"</formula1>
    </dataValidation>
    <dataValidation sqref="D74" showDropDown="0" showInputMessage="0" showErrorMessage="0" allowBlank="1" type="list">
      <formula1>"НАВЫК,НАВЫК ×2,РОЛЬ,СТАТА (GM)"</formula1>
    </dataValidation>
    <dataValidation sqref="D75" showDropDown="0" showInputMessage="0" showErrorMessage="0" allowBlank="1" type="list">
      <formula1>"НАВЫК,НАВЫК ×2,РОЛЬ,СТАТА (GM)"</formula1>
    </dataValidation>
    <dataValidation sqref="D76" showDropDown="0" showInputMessage="0" showErrorMessage="0" allowBlank="1" type="list">
      <formula1>"НАВЫК,НАВЫК ×2,РОЛЬ,СТАТА (GM)"</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7A7364"/>
    <outlinePr summaryBelow="1" summaryRight="1"/>
    <pageSetUpPr fitToPage="1"/>
  </sheetPr>
  <dimension ref="A1:T1093"/>
  <sheetViews>
    <sheetView showGridLines="0" workbookViewId="0">
      <pane ySplit="2" topLeftCell="A3" activePane="bottomLeft" state="frozen"/>
      <selection pane="bottomLeft" activeCell="A1" sqref="A1"/>
    </sheetView>
  </sheetViews>
  <sheetFormatPr baseColWidth="8" defaultRowHeight="15"/>
  <cols>
    <col width="38" customWidth="1" min="1" max="1"/>
    <col width="22" customWidth="1" min="2" max="2"/>
    <col width="26" customWidth="1" min="3" max="3"/>
    <col width="16" customWidth="1" min="4" max="4"/>
    <col width="10" customWidth="1" min="5" max="5"/>
    <col width="6" customWidth="1" min="6" max="6"/>
    <col width="7" customWidth="1" min="7" max="7"/>
    <col width="6" customWidth="1" min="8" max="8"/>
    <col width="6" customWidth="1" min="9" max="9"/>
    <col width="10" customWidth="1" min="10" max="10"/>
    <col width="10" customWidth="1" min="11" max="11"/>
    <col width="10" customWidth="1" min="12" max="12"/>
    <col width="6" customWidth="1" min="13" max="13"/>
    <col width="12" customWidth="1" min="14" max="14"/>
    <col width="6" customWidth="1" min="15" max="15"/>
    <col width="10" customWidth="1" min="16" max="16"/>
    <col width="12" customWidth="1" min="17" max="17"/>
    <col width="12" customWidth="1" min="18" max="18"/>
    <col width="22" customWidth="1" min="19" max="19"/>
    <col width="80" customWidth="1" min="20" max="20"/>
  </cols>
  <sheetData>
    <row r="1" ht="20" customHeight="1">
      <c r="A1" s="1" t="inlineStr">
        <is>
          <t>КАТАЛОГ  ▚  1092 ПОЗИЦИЙ ИЗ DATA POOL (CYBERPUNK RED / CEMK / BLACK CHROME / INTERFACE RED)  ▚  НЕ ПРАВЬ ЭТОТ ЛИСТ — НА НЕГО ССЫЛАЮТСЯ ФОРМУЛЫ ОСТАЛЬНЫХ</t>
        </is>
      </c>
    </row>
    <row r="2">
      <c r="A2" s="21" t="inlineStr">
        <is>
          <t>Power Rebuild</t>
        </is>
      </c>
      <c r="B2" s="21" t="inlineStr">
        <is>
          <t>Апгрейды оружия</t>
        </is>
      </c>
      <c r="C2" s="21" t="inlineStr"/>
      <c r="D2" s="21" t="inlineStr"/>
      <c r="E2" s="21" t="inlineStr"/>
      <c r="F2" s="31" t="inlineStr">
        <is>
          <t>ROF</t>
        </is>
      </c>
      <c r="G2" s="31" t="inlineStr">
        <is>
          <t>МАГ.</t>
        </is>
      </c>
      <c r="H2" s="31" t="inlineStr">
        <is>
          <t>SP</t>
        </is>
      </c>
      <c r="I2" s="31" t="inlineStr">
        <is>
          <t>HP</t>
        </is>
      </c>
      <c r="J2" s="31" t="n">
        <v>0</v>
      </c>
      <c r="K2" s="31" t="n">
        <v>0</v>
      </c>
      <c r="L2" s="31" t="n">
        <v>0</v>
      </c>
      <c r="M2" s="31" t="n">
        <v>0</v>
      </c>
      <c r="N2" s="21" t="inlineStr"/>
      <c r="O2" s="21" t="inlineStr"/>
      <c r="P2" s="21" t="inlineStr"/>
      <c r="Q2" s="21" t="inlineStr"/>
      <c r="R2" s="40" t="n">
        <v>1000</v>
      </c>
      <c r="S2" s="21" t="inlineStr">
        <is>
          <t>CEMK 30</t>
        </is>
      </c>
      <c r="T2" s="21" t="inlineStr">
        <is>
          <t>The weapon is reinforced to handle extreme strain, enabling increased precision. Rebuild. Requires 2 attachment slots. Transforms the weapon into a Power Weapon. Whenever a Power Weapon causes a Critical Injury (see CEMK</t>
        </is>
      </c>
    </row>
    <row r="3">
      <c r="A3" s="21" t="inlineStr">
        <is>
          <t>Smart Rebuild</t>
        </is>
      </c>
      <c r="B3" s="21" t="inlineStr">
        <is>
          <t>Апгрейды оружия</t>
        </is>
      </c>
      <c r="C3" s="21" t="inlineStr"/>
      <c r="D3" s="21" t="inlineStr"/>
      <c r="E3" s="21" t="inlineStr"/>
      <c r="F3" s="31" t="n"/>
      <c r="G3" s="31" t="n"/>
      <c r="H3" s="31" t="n"/>
      <c r="I3" s="31" t="n"/>
      <c r="J3" s="31" t="n">
        <v>0</v>
      </c>
      <c r="K3" s="31" t="n">
        <v>0</v>
      </c>
      <c r="L3" s="31" t="n">
        <v>0</v>
      </c>
      <c r="M3" s="31" t="n">
        <v>0</v>
      </c>
      <c r="N3" s="21" t="inlineStr"/>
      <c r="O3" s="21" t="inlineStr"/>
      <c r="P3" s="21" t="inlineStr"/>
      <c r="Q3" s="21" t="inlineStr"/>
      <c r="R3" s="40" t="n">
        <v>1000</v>
      </c>
      <c r="S3" s="21" t="inlineStr">
        <is>
          <t>CEMK 31</t>
        </is>
      </c>
      <c r="T3" s="21" t="inlineStr">
        <is>
          <t xml:space="preserve">The weapon’s internals are stripped down and rebuilt, incorporating advances in smart targeting technology needed to make use of improved gyrojet bullets. Rebuild. Requires 2 attachment slots. Transforms the weapon into </t>
        </is>
      </c>
    </row>
    <row r="4">
      <c r="A4" s="21" t="inlineStr">
        <is>
          <t>Tech Rebuild</t>
        </is>
      </c>
      <c r="B4" s="21" t="inlineStr">
        <is>
          <t>Апгрейды оружия</t>
        </is>
      </c>
      <c r="C4" s="21" t="inlineStr"/>
      <c r="D4" s="21" t="inlineStr"/>
      <c r="E4" s="21" t="inlineStr"/>
      <c r="F4" s="31" t="n"/>
      <c r="G4" s="31" t="n"/>
      <c r="H4" s="31" t="n"/>
      <c r="I4" s="31" t="n"/>
      <c r="J4" s="31" t="n">
        <v>0</v>
      </c>
      <c r="K4" s="31" t="n">
        <v>0</v>
      </c>
      <c r="L4" s="31" t="n">
        <v>0</v>
      </c>
      <c r="M4" s="31" t="n">
        <v>0</v>
      </c>
      <c r="N4" s="21" t="inlineStr"/>
      <c r="O4" s="21" t="inlineStr"/>
      <c r="P4" s="21" t="inlineStr"/>
      <c r="Q4" s="21" t="inlineStr"/>
      <c r="R4" s="40" t="n">
        <v>1000</v>
      </c>
      <c r="S4" s="21" t="inlineStr">
        <is>
          <t>CEMK 31</t>
        </is>
      </c>
      <c r="T4" s="21" t="inlineStr">
        <is>
          <t>The weapon is reworked from the ground up to be fitted with electromagnetic launch modules. Rebuild. Requires 2 attachment slots. Transforms the weapon into a Tech Weapon. Weapon is equipped with a scope that can see sim</t>
        </is>
      </c>
    </row>
    <row r="5">
      <c r="A5" s="21" t="inlineStr">
        <is>
          <t>Bayonet</t>
        </is>
      </c>
      <c r="B5" s="21" t="inlineStr">
        <is>
          <t>Апгрейды оружия</t>
        </is>
      </c>
      <c r="C5" s="21" t="inlineStr"/>
      <c r="D5" s="21" t="inlineStr"/>
      <c r="E5" s="21" t="inlineStr"/>
      <c r="F5" s="31" t="n"/>
      <c r="G5" s="31" t="n"/>
      <c r="H5" s="31" t="n"/>
      <c r="I5" s="31" t="n"/>
      <c r="J5" s="31" t="n">
        <v>0</v>
      </c>
      <c r="K5" s="31" t="n">
        <v>0</v>
      </c>
      <c r="L5" s="31" t="n">
        <v>0</v>
      </c>
      <c r="M5" s="31" t="n">
        <v>0</v>
      </c>
      <c r="N5" s="21" t="inlineStr"/>
      <c r="O5" s="21" t="inlineStr"/>
      <c r="P5" s="21" t="inlineStr"/>
      <c r="Q5" s="21" t="inlineStr"/>
      <c r="R5" s="40" t="n">
        <v>100</v>
      </c>
      <c r="S5" s="21" t="inlineStr">
        <is>
          <t>CP:R 343</t>
        </is>
      </c>
      <c r="T5" s="21" t="inlineStr">
        <is>
          <t>When wielded, this weapon can also be used as a Light Melee Weapon. While this is attached to a weapon, it cannot be concealed under clothing.</t>
        </is>
      </c>
    </row>
    <row r="6">
      <c r="A6" s="21" t="inlineStr">
        <is>
          <t>Drum Magazine</t>
        </is>
      </c>
      <c r="B6" s="21" t="inlineStr">
        <is>
          <t>Апгрейды оружия</t>
        </is>
      </c>
      <c r="C6" s="21" t="inlineStr"/>
      <c r="D6" s="21" t="inlineStr"/>
      <c r="E6" s="21" t="inlineStr"/>
      <c r="F6" s="31" t="n"/>
      <c r="G6" s="31" t="n"/>
      <c r="H6" s="31" t="n"/>
      <c r="I6" s="31" t="n"/>
      <c r="J6" s="31" t="n">
        <v>0</v>
      </c>
      <c r="K6" s="31" t="n">
        <v>0</v>
      </c>
      <c r="L6" s="31" t="n">
        <v>0</v>
      </c>
      <c r="M6" s="31" t="n">
        <v>0</v>
      </c>
      <c r="N6" s="21" t="inlineStr"/>
      <c r="O6" s="21" t="inlineStr"/>
      <c r="P6" s="21" t="inlineStr"/>
      <c r="Q6" s="21" t="inlineStr"/>
      <c r="R6" s="40" t="n">
        <v>500</v>
      </c>
      <c r="S6" s="21" t="inlineStr">
        <is>
          <t>CP:R 343</t>
        </is>
      </c>
      <c r="T6" s="21" t="inlineStr">
        <is>
          <t xml:space="preserve">The weapon holds a maximum number of shots equal to its Drum entry on the Clip Chart below. Only one clip can be attached to a weapon at a time. While this is attached to a weapon, it cannot be concealed under clothing. </t>
        </is>
      </c>
    </row>
    <row r="7">
      <c r="A7" s="21" t="inlineStr">
        <is>
          <t>Extended Magazine</t>
        </is>
      </c>
      <c r="B7" s="21" t="inlineStr">
        <is>
          <t>Апгрейды оружия</t>
        </is>
      </c>
      <c r="C7" s="21" t="inlineStr"/>
      <c r="D7" s="21" t="inlineStr"/>
      <c r="E7" s="21" t="inlineStr"/>
      <c r="F7" s="31" t="n"/>
      <c r="G7" s="31" t="n"/>
      <c r="H7" s="31" t="n"/>
      <c r="I7" s="31" t="n"/>
      <c r="J7" s="31" t="n">
        <v>0</v>
      </c>
      <c r="K7" s="31" t="n">
        <v>0</v>
      </c>
      <c r="L7" s="31" t="n">
        <v>0</v>
      </c>
      <c r="M7" s="31" t="n">
        <v>0</v>
      </c>
      <c r="N7" s="21" t="inlineStr"/>
      <c r="O7" s="21" t="inlineStr"/>
      <c r="P7" s="21" t="inlineStr"/>
      <c r="Q7" s="21" t="inlineStr"/>
      <c r="R7" s="40" t="n">
        <v>100</v>
      </c>
      <c r="S7" s="21" t="inlineStr">
        <is>
          <t>CP:R 343</t>
        </is>
      </c>
      <c r="T7" s="21" t="inlineStr">
        <is>
          <t xml:space="preserve">The weapon holds a maximum number of shots equal to its Extended entry on the Clip Chart chart below. Only one clip can be attached to a weapon at a time. While this is attached to a weapon, it cannot be concealed under </t>
        </is>
      </c>
    </row>
    <row r="8">
      <c r="A8" s="21" t="inlineStr">
        <is>
          <t>Grenade Launcher Underbarrel</t>
        </is>
      </c>
      <c r="B8" s="21" t="inlineStr">
        <is>
          <t>Апгрейды оружия</t>
        </is>
      </c>
      <c r="C8" s="21" t="inlineStr"/>
      <c r="D8" s="21" t="inlineStr"/>
      <c r="E8" s="21" t="inlineStr"/>
      <c r="F8" s="31" t="n"/>
      <c r="G8" s="31" t="n"/>
      <c r="H8" s="31" t="n"/>
      <c r="I8" s="31" t="n"/>
      <c r="J8" s="31" t="n">
        <v>0</v>
      </c>
      <c r="K8" s="31" t="n">
        <v>0</v>
      </c>
      <c r="L8" s="31" t="n">
        <v>0</v>
      </c>
      <c r="M8" s="31" t="n">
        <v>0</v>
      </c>
      <c r="N8" s="21" t="inlineStr"/>
      <c r="O8" s="21" t="inlineStr"/>
      <c r="P8" s="21" t="inlineStr"/>
      <c r="Q8" s="21" t="inlineStr"/>
      <c r="R8" s="40" t="n">
        <v>500</v>
      </c>
      <c r="S8" s="21" t="inlineStr">
        <is>
          <t>CP:R 343</t>
        </is>
      </c>
      <c r="T8" s="21" t="inlineStr">
        <is>
          <t>When wielded in two hands, the weapon can also be used as a Grenade Launcher, with only 1 grenade in its magazine. While this is attached to a weapon, it cannot be concealed under clothing. Requires 2 Attachment Slots.</t>
        </is>
      </c>
    </row>
    <row r="9">
      <c r="A9" s="21" t="inlineStr">
        <is>
          <t>Infrared Nightvision Scope</t>
        </is>
      </c>
      <c r="B9" s="21" t="inlineStr">
        <is>
          <t>Апгрейды оружия</t>
        </is>
      </c>
      <c r="C9" s="21" t="inlineStr"/>
      <c r="D9" s="21" t="inlineStr"/>
      <c r="E9" s="21" t="inlineStr"/>
      <c r="F9" s="31" t="n"/>
      <c r="G9" s="31" t="n"/>
      <c r="H9" s="31" t="n"/>
      <c r="I9" s="31" t="n"/>
      <c r="J9" s="31" t="n">
        <v>0</v>
      </c>
      <c r="K9" s="31" t="n">
        <v>0</v>
      </c>
      <c r="L9" s="31" t="n">
        <v>0</v>
      </c>
      <c r="M9" s="31" t="n">
        <v>0</v>
      </c>
      <c r="N9" s="21" t="inlineStr"/>
      <c r="O9" s="21" t="inlineStr"/>
      <c r="P9" s="21" t="inlineStr"/>
      <c r="Q9" s="21" t="inlineStr"/>
      <c r="R9" s="40" t="n">
        <v>500</v>
      </c>
      <c r="S9" s="21" t="inlineStr">
        <is>
          <t>CP:R 343</t>
        </is>
      </c>
      <c r="T9" s="21" t="inlineStr">
        <is>
          <t>Reduces penalties imposed on your firing at a target obscured to you by darkness, smoke, fog, etc. to 0. Looking through the scope, you can distinguish hot meat from cold metal, but not more specifically than that. You c</t>
        </is>
      </c>
    </row>
    <row r="10">
      <c r="A10" s="21" t="inlineStr">
        <is>
          <t>Shotgun Underbarrel</t>
        </is>
      </c>
      <c r="B10" s="21" t="inlineStr">
        <is>
          <t>Апгрейды оружия</t>
        </is>
      </c>
      <c r="C10" s="21" t="inlineStr"/>
      <c r="D10" s="21" t="inlineStr"/>
      <c r="E10" s="21" t="inlineStr"/>
      <c r="F10" s="31" t="n"/>
      <c r="G10" s="31" t="n"/>
      <c r="H10" s="31" t="n"/>
      <c r="I10" s="31" t="n"/>
      <c r="J10" s="31" t="n">
        <v>0</v>
      </c>
      <c r="K10" s="31" t="n">
        <v>0</v>
      </c>
      <c r="L10" s="31" t="n">
        <v>0</v>
      </c>
      <c r="M10" s="31" t="n">
        <v>0</v>
      </c>
      <c r="N10" s="21" t="inlineStr"/>
      <c r="O10" s="21" t="inlineStr"/>
      <c r="P10" s="21" t="inlineStr"/>
      <c r="Q10" s="21" t="inlineStr"/>
      <c r="R10" s="40" t="n">
        <v>500</v>
      </c>
      <c r="S10" s="21" t="inlineStr">
        <is>
          <t>CP:R 343</t>
        </is>
      </c>
      <c r="T10" s="21" t="inlineStr">
        <is>
          <t>When wielded in two hands, the weapon can also be used as a Shotgun, with only 2 shots in its magazine. While this is attached to a weapon, it cannot be concealed under clothing. Requires 2 Attachment Slots.</t>
        </is>
      </c>
    </row>
    <row r="11">
      <c r="A11" s="21" t="inlineStr">
        <is>
          <t>Smartgun Link</t>
        </is>
      </c>
      <c r="B11" s="21" t="inlineStr">
        <is>
          <t>Апгрейды оружия</t>
        </is>
      </c>
      <c r="C11" s="21" t="inlineStr"/>
      <c r="D11" s="21" t="inlineStr"/>
      <c r="E11" s="21" t="inlineStr"/>
      <c r="F11" s="31" t="n"/>
      <c r="G11" s="31" t="n"/>
      <c r="H11" s="31" t="n"/>
      <c r="I11" s="31" t="n"/>
      <c r="J11" s="31" t="n">
        <v>0</v>
      </c>
      <c r="K11" s="31" t="n">
        <v>0</v>
      </c>
      <c r="L11" s="31" t="n">
        <v>0</v>
      </c>
      <c r="M11" s="31" t="n">
        <v>0</v>
      </c>
      <c r="N11" s="21" t="inlineStr"/>
      <c r="O11" s="21" t="inlineStr"/>
      <c r="P11" s="21" t="inlineStr"/>
      <c r="Q11" s="21" t="inlineStr"/>
      <c r="R11" s="40" t="n">
        <v>500</v>
      </c>
      <c r="S11" s="21" t="inlineStr">
        <is>
          <t>CP:R 343</t>
        </is>
      </c>
      <c r="T11" s="21" t="inlineStr">
        <is>
          <t>Installing or uninstalling a Smartgun Link takes an hour. A weapon is a Smartgun only when it has a Smartgun Link attached to it. Special Cyberware is required to take advantage of a Smartgun. A Smartgun Link must be con</t>
        </is>
      </c>
    </row>
    <row r="12">
      <c r="A12" s="21" t="inlineStr">
        <is>
          <t>Sniping Scope</t>
        </is>
      </c>
      <c r="B12" s="21" t="inlineStr">
        <is>
          <t>Апгрейды оружия</t>
        </is>
      </c>
      <c r="C12" s="21" t="inlineStr"/>
      <c r="D12" s="21" t="inlineStr"/>
      <c r="E12" s="21" t="inlineStr"/>
      <c r="F12" s="31" t="n"/>
      <c r="G12" s="31" t="n"/>
      <c r="H12" s="31" t="n"/>
      <c r="I12" s="31" t="n"/>
      <c r="J12" s="31" t="n">
        <v>0</v>
      </c>
      <c r="K12" s="31" t="n">
        <v>0</v>
      </c>
      <c r="L12" s="31" t="n">
        <v>0</v>
      </c>
      <c r="M12" s="31" t="n">
        <v>0</v>
      </c>
      <c r="N12" s="21" t="inlineStr"/>
      <c r="O12" s="21" t="inlineStr"/>
      <c r="P12" s="21" t="inlineStr"/>
      <c r="Q12" s="21" t="inlineStr"/>
      <c r="R12" s="40" t="n">
        <v>100</v>
      </c>
      <c r="S12" s="21" t="inlineStr">
        <is>
          <t>CP:R 343</t>
        </is>
      </c>
      <c r="T12" s="21" t="inlineStr">
        <is>
          <t xml:space="preserve">Looking through the scope, user can see detail up to 800m/yds away. When attacking a target 51m/yards or further away with either a weapon's single shot firing mode or an Aimed Shot, you can add a +1 to your Check. Does </t>
        </is>
      </c>
    </row>
    <row r="13">
      <c r="A13" s="21" t="inlineStr">
        <is>
          <t>Airhypo Bayonet</t>
        </is>
      </c>
      <c r="B13" s="21" t="inlineStr">
        <is>
          <t>Апгрейды оружия</t>
        </is>
      </c>
      <c r="C13" s="21" t="inlineStr"/>
      <c r="D13" s="21" t="inlineStr"/>
      <c r="E13" s="21" t="inlineStr"/>
      <c r="F13" s="31" t="n"/>
      <c r="G13" s="31" t="n"/>
      <c r="H13" s="31" t="n"/>
      <c r="I13" s="31" t="n"/>
      <c r="J13" s="31" t="n">
        <v>0</v>
      </c>
      <c r="K13" s="31" t="n">
        <v>0</v>
      </c>
      <c r="L13" s="31" t="n">
        <v>0</v>
      </c>
      <c r="M13" s="31" t="n">
        <v>0</v>
      </c>
      <c r="N13" s="21" t="inlineStr"/>
      <c r="O13" s="21" t="inlineStr"/>
      <c r="P13" s="21" t="inlineStr"/>
      <c r="Q13" s="21" t="inlineStr"/>
      <c r="R13" s="40" t="n">
        <v>100</v>
      </c>
      <c r="S13" s="21" t="inlineStr">
        <is>
          <t>DL:TT 14 · IR5 48</t>
        </is>
      </c>
      <c r="T13" s="21" t="inlineStr">
        <is>
          <t>A drug-based twist on the standard bayonet. You won’t break flesh with this attachment, but you can pump someone full of whatever chemical you load into the reservoir. An easy-to-use drug distribution platform mounted on</t>
        </is>
      </c>
    </row>
    <row r="14">
      <c r="A14" s="21" t="inlineStr">
        <is>
          <t>Grapple Gun Underbarrel</t>
        </is>
      </c>
      <c r="B14" s="21" t="inlineStr">
        <is>
          <t>Апгрейды оружия</t>
        </is>
      </c>
      <c r="C14" s="21" t="inlineStr"/>
      <c r="D14" s="21" t="inlineStr"/>
      <c r="E14" s="21" t="inlineStr"/>
      <c r="F14" s="31" t="n"/>
      <c r="G14" s="31" t="n"/>
      <c r="H14" s="31" t="n"/>
      <c r="I14" s="31" t="n"/>
      <c r="J14" s="31" t="n">
        <v>0</v>
      </c>
      <c r="K14" s="31" t="n">
        <v>0</v>
      </c>
      <c r="L14" s="31" t="n">
        <v>0</v>
      </c>
      <c r="M14" s="31" t="n">
        <v>0</v>
      </c>
      <c r="N14" s="21" t="inlineStr"/>
      <c r="O14" s="21" t="inlineStr"/>
      <c r="P14" s="21" t="inlineStr"/>
      <c r="Q14" s="21" t="inlineStr"/>
      <c r="R14" s="40" t="n">
        <v>100</v>
      </c>
      <c r="S14" s="21" t="inlineStr">
        <is>
          <t>DL:TT 14 · IR5 48</t>
        </is>
      </c>
      <c r="T14" s="21" t="inlineStr">
        <is>
          <t>When someone shoves you off a building, you don’t always have time to drop your rifle and grab your grapple gun. Save your life by combining the two! The weapon can be used as a Grapple Gun (see CP:R, page 353). However,</t>
        </is>
      </c>
    </row>
    <row r="15">
      <c r="A15" s="21" t="inlineStr">
        <is>
          <t>Silencer</t>
        </is>
      </c>
      <c r="B15" s="21" t="inlineStr">
        <is>
          <t>Апгрейды оружия</t>
        </is>
      </c>
      <c r="C15" s="21" t="inlineStr"/>
      <c r="D15" s="21" t="inlineStr"/>
      <c r="E15" s="21" t="inlineStr"/>
      <c r="F15" s="31" t="n"/>
      <c r="G15" s="31" t="n"/>
      <c r="H15" s="31" t="n"/>
      <c r="I15" s="31" t="n"/>
      <c r="J15" s="31" t="n">
        <v>0</v>
      </c>
      <c r="K15" s="31" t="n">
        <v>0</v>
      </c>
      <c r="L15" s="31" t="n">
        <v>0</v>
      </c>
      <c r="M15" s="31" t="n">
        <v>0</v>
      </c>
      <c r="N15" s="21" t="inlineStr"/>
      <c r="O15" s="21" t="inlineStr"/>
      <c r="P15" s="21" t="inlineStr"/>
      <c r="Q15" s="21" t="inlineStr"/>
      <c r="R15" s="40" t="n">
        <v>100</v>
      </c>
      <c r="S15" s="21" t="inlineStr">
        <is>
          <t>DL:TT 14 · IR5 48</t>
        </is>
      </c>
      <c r="T15" s="21" t="inlineStr">
        <is>
          <t>Far more than just a suppressor, a silencer uses a combination of sound baffling and noise-cancellation technology to make a firearm whisper-quiet without sacrificing power. Perfect for when you don’t want your target to</t>
        </is>
      </c>
    </row>
    <row r="16">
      <c r="A16" s="21" t="inlineStr">
        <is>
          <t>Stun Bayonet</t>
        </is>
      </c>
      <c r="B16" s="21" t="inlineStr">
        <is>
          <t>Апгрейды оружия</t>
        </is>
      </c>
      <c r="C16" s="21" t="inlineStr"/>
      <c r="D16" s="21" t="inlineStr"/>
      <c r="E16" s="21" t="inlineStr"/>
      <c r="F16" s="31" t="n"/>
      <c r="G16" s="31" t="n"/>
      <c r="H16" s="31" t="n"/>
      <c r="I16" s="31" t="n"/>
      <c r="J16" s="31" t="n">
        <v>0</v>
      </c>
      <c r="K16" s="31" t="n">
        <v>0</v>
      </c>
      <c r="L16" s="31" t="n">
        <v>0</v>
      </c>
      <c r="M16" s="31" t="n">
        <v>0</v>
      </c>
      <c r="N16" s="21" t="inlineStr"/>
      <c r="O16" s="21" t="inlineStr"/>
      <c r="P16" s="21" t="inlineStr"/>
      <c r="Q16" s="21" t="inlineStr"/>
      <c r="R16" s="40" t="n">
        <v>100</v>
      </c>
      <c r="S16" s="21" t="inlineStr">
        <is>
          <t>DL:12RED 4  · IR5 100</t>
        </is>
      </c>
      <c r="T16" s="21" t="inlineStr">
        <is>
          <t>When wielded, this weapon can also be used as a Stun Baton (see CP:R page 349).</t>
        </is>
      </c>
    </row>
    <row r="17">
      <c r="A17" s="21" t="inlineStr">
        <is>
          <t>Ammo Compatibity Internals</t>
        </is>
      </c>
      <c r="B17" s="21" t="inlineStr">
        <is>
          <t>Апгрейды оружия</t>
        </is>
      </c>
      <c r="C17" s="21" t="inlineStr"/>
      <c r="D17" s="21" t="inlineStr"/>
      <c r="E17" s="21" t="inlineStr"/>
      <c r="F17" s="31" t="n"/>
      <c r="G17" s="31" t="n"/>
      <c r="H17" s="31" t="n"/>
      <c r="I17" s="31" t="n"/>
      <c r="J17" s="31" t="n">
        <v>0</v>
      </c>
      <c r="K17" s="31" t="n">
        <v>0</v>
      </c>
      <c r="L17" s="31" t="n">
        <v>0</v>
      </c>
      <c r="M17" s="31" t="n">
        <v>0</v>
      </c>
      <c r="N17" s="21" t="inlineStr"/>
      <c r="O17" s="21" t="inlineStr"/>
      <c r="P17" s="21" t="inlineStr"/>
      <c r="Q17" s="21" t="inlineStr"/>
      <c r="R17" s="40" t="n">
        <v>100</v>
      </c>
      <c r="S17" s="21" t="inlineStr">
        <is>
          <t>IR5 111</t>
        </is>
      </c>
      <c r="T17" s="21" t="inlineStr">
        <is>
          <t xml:space="preserve">Forcing something where it’s not meant to be isn’t always a good idea, and hey, maybe there was a reason that you weren’t supposed to chamber incendiary ammo in your plastic rifle. Stopping ideas like these from blowing </t>
        </is>
      </c>
    </row>
    <row r="18">
      <c r="A18" s="21" t="inlineStr">
        <is>
          <t>Compatibility Rail</t>
        </is>
      </c>
      <c r="B18" s="21" t="inlineStr">
        <is>
          <t>Апгрейды оружия</t>
        </is>
      </c>
      <c r="C18" s="21" t="inlineStr"/>
      <c r="D18" s="21" t="inlineStr"/>
      <c r="E18" s="21" t="inlineStr"/>
      <c r="F18" s="31" t="n"/>
      <c r="G18" s="31" t="n"/>
      <c r="H18" s="31" t="n"/>
      <c r="I18" s="31" t="n"/>
      <c r="J18" s="31" t="n">
        <v>0</v>
      </c>
      <c r="K18" s="31" t="n">
        <v>0</v>
      </c>
      <c r="L18" s="31" t="n">
        <v>0</v>
      </c>
      <c r="M18" s="31" t="n">
        <v>0</v>
      </c>
      <c r="N18" s="21" t="inlineStr"/>
      <c r="O18" s="21" t="inlineStr"/>
      <c r="P18" s="21" t="inlineStr"/>
      <c r="Q18" s="21" t="inlineStr"/>
      <c r="R18" s="40" t="n">
        <v>50</v>
      </c>
      <c r="S18" s="21" t="inlineStr">
        <is>
          <t>IR5 111</t>
        </is>
      </c>
      <c r="T18" s="21" t="inlineStr">
        <is>
          <t>Attaching an external scope rail to an unusual or unique weapon design requires certain considerations. The end result won’t always look good, but with enough gunsmithing elbow grease, it’ll work. This Attachment doesn’t</t>
        </is>
      </c>
    </row>
    <row r="19">
      <c r="A19" s="21" t="inlineStr">
        <is>
          <t>Reinforced String</t>
        </is>
      </c>
      <c r="B19" s="21" t="inlineStr">
        <is>
          <t>Апгрейды оружия</t>
        </is>
      </c>
      <c r="C19" s="21" t="inlineStr"/>
      <c r="D19" s="21" t="inlineStr"/>
      <c r="E19" s="21" t="inlineStr"/>
      <c r="F19" s="31" t="n"/>
      <c r="G19" s="31" t="n"/>
      <c r="H19" s="31" t="n"/>
      <c r="I19" s="31" t="n"/>
      <c r="J19" s="31" t="n">
        <v>0</v>
      </c>
      <c r="K19" s="31" t="n">
        <v>0</v>
      </c>
      <c r="L19" s="31" t="n">
        <v>0</v>
      </c>
      <c r="M19" s="31" t="n">
        <v>0</v>
      </c>
      <c r="N19" s="21" t="inlineStr"/>
      <c r="O19" s="21" t="inlineStr"/>
      <c r="P19" s="21" t="inlineStr"/>
      <c r="Q19" s="21" t="inlineStr"/>
      <c r="R19" s="40" t="n">
        <v>250</v>
      </c>
      <c r="S19" s="21" t="inlineStr">
        <is>
          <t>IR5 111</t>
        </is>
      </c>
      <c r="T19" s="21" t="inlineStr">
        <is>
          <t>Switching to a less forgiving string allows you to put significantly more power behind each arrow. Kits can be purchased for the task. This Attachment doesn’t require an Attachment Slot to install and can be installed in</t>
        </is>
      </c>
    </row>
    <row r="20">
      <c r="A20" s="21" t="inlineStr">
        <is>
          <t>Sniper Rifle Rechamber</t>
        </is>
      </c>
      <c r="B20" s="21" t="inlineStr">
        <is>
          <t>Апгрейды оружия</t>
        </is>
      </c>
      <c r="C20" s="21" t="inlineStr"/>
      <c r="D20" s="21" t="inlineStr"/>
      <c r="E20" s="21" t="inlineStr"/>
      <c r="F20" s="31" t="n"/>
      <c r="G20" s="31" t="n"/>
      <c r="H20" s="31" t="n"/>
      <c r="I20" s="31" t="n"/>
      <c r="J20" s="31" t="n">
        <v>0</v>
      </c>
      <c r="K20" s="31" t="n">
        <v>0</v>
      </c>
      <c r="L20" s="31" t="n">
        <v>0</v>
      </c>
      <c r="M20" s="31" t="n">
        <v>0</v>
      </c>
      <c r="N20" s="21" t="inlineStr"/>
      <c r="O20" s="21" t="inlineStr"/>
      <c r="P20" s="21" t="inlineStr"/>
      <c r="Q20" s="21" t="inlineStr"/>
      <c r="R20" s="40" t="n">
        <v>300</v>
      </c>
      <c r="S20" s="21" t="inlineStr">
        <is>
          <t>IR5 111</t>
        </is>
      </c>
      <c r="T20" s="21" t="inlineStr">
        <is>
          <t>Rechambering a high caliber caseless weapon to an even higher caliber requires much more than drilling a wider hole. Headspace must be considered, and in many cases, the weapon’s receiver needs extensive modification. Lu</t>
        </is>
      </c>
    </row>
    <row r="21">
      <c r="A21" s="21" t="inlineStr">
        <is>
          <t>Range Table Modification</t>
        </is>
      </c>
      <c r="B21" s="21" t="inlineStr">
        <is>
          <t>Апгрейды оружия</t>
        </is>
      </c>
      <c r="C21" s="21" t="inlineStr"/>
      <c r="D21" s="21" t="inlineStr"/>
      <c r="E21" s="21" t="inlineStr"/>
      <c r="F21" s="31" t="n"/>
      <c r="G21" s="31" t="n"/>
      <c r="H21" s="31" t="n"/>
      <c r="I21" s="31" t="n"/>
      <c r="J21" s="31" t="n">
        <v>0</v>
      </c>
      <c r="K21" s="31" t="n">
        <v>0</v>
      </c>
      <c r="L21" s="31" t="n">
        <v>0</v>
      </c>
      <c r="M21" s="31" t="n">
        <v>0</v>
      </c>
      <c r="N21" s="21" t="inlineStr"/>
      <c r="O21" s="21" t="inlineStr"/>
      <c r="P21" s="21" t="inlineStr"/>
      <c r="Q21" s="21" t="inlineStr"/>
      <c r="R21" s="40" t="n">
        <v>100</v>
      </c>
      <c r="S21" s="21" t="inlineStr">
        <is>
          <t>IR5 112</t>
        </is>
      </c>
      <c r="T21" s="21" t="inlineStr">
        <is>
          <t>Nothing stock is perfect, and that’s why God invented barrel extensions. Screw one on and you’ve got a weapon designed to work at the range you want to be fighting in. These have been around for so long that you don’t ne</t>
        </is>
      </c>
    </row>
    <row r="22">
      <c r="A22" s="21" t="inlineStr">
        <is>
          <t>Pistol Autosear</t>
        </is>
      </c>
      <c r="B22" s="21" t="inlineStr">
        <is>
          <t>Апгрейды оружия</t>
        </is>
      </c>
      <c r="C22" s="21" t="inlineStr"/>
      <c r="D22" s="21" t="inlineStr"/>
      <c r="E22" s="21" t="inlineStr"/>
      <c r="F22" s="31" t="n"/>
      <c r="G22" s="31" t="n"/>
      <c r="H22" s="31" t="n"/>
      <c r="I22" s="31" t="n"/>
      <c r="J22" s="31" t="n">
        <v>0</v>
      </c>
      <c r="K22" s="31" t="n">
        <v>0</v>
      </c>
      <c r="L22" s="31" t="n">
        <v>0</v>
      </c>
      <c r="M22" s="31" t="n">
        <v>0</v>
      </c>
      <c r="N22" s="21" t="inlineStr"/>
      <c r="O22" s="21" t="inlineStr"/>
      <c r="P22" s="21" t="inlineStr"/>
      <c r="Q22" s="21" t="inlineStr"/>
      <c r="R22" s="40" t="n">
        <v>100</v>
      </c>
      <c r="S22" s="21" t="inlineStr">
        <is>
          <t>IR5 115</t>
        </is>
      </c>
      <c r="T22" s="21" t="inlineStr">
        <is>
          <t>A simple switch, easily installed, can make most handguns capable of automatic fire. This Attachment doesn’t require an Attachment Slot to install and can be installed in Exotic Weapons. Only one Pistol Autosear may be i</t>
        </is>
      </c>
    </row>
    <row r="23">
      <c r="A23" s="21" t="inlineStr">
        <is>
          <t>Shotgun Auto Control Group</t>
        </is>
      </c>
      <c r="B23" s="21" t="inlineStr">
        <is>
          <t>Апгрейды оружия</t>
        </is>
      </c>
      <c r="C23" s="21" t="inlineStr"/>
      <c r="D23" s="21" t="inlineStr"/>
      <c r="E23" s="21" t="inlineStr"/>
      <c r="F23" s="31" t="n"/>
      <c r="G23" s="31" t="n"/>
      <c r="H23" s="31" t="n"/>
      <c r="I23" s="31" t="n"/>
      <c r="J23" s="31" t="n">
        <v>0</v>
      </c>
      <c r="K23" s="31" t="n">
        <v>0</v>
      </c>
      <c r="L23" s="31" t="n">
        <v>0</v>
      </c>
      <c r="M23" s="31" t="n">
        <v>0</v>
      </c>
      <c r="N23" s="21" t="inlineStr"/>
      <c r="O23" s="21" t="inlineStr"/>
      <c r="P23" s="21" t="inlineStr"/>
      <c r="Q23" s="21" t="inlineStr"/>
      <c r="R23" s="40" t="n">
        <v>100</v>
      </c>
      <c r="S23" s="21" t="inlineStr">
        <is>
          <t>IR5 115</t>
        </is>
      </c>
      <c r="T23" s="21" t="inlineStr">
        <is>
          <t>Making a shotgun capable of automatic fire is much more complicated than a handgun, requiring a modification to the weapon’s fire control group, which requires a skilled hand. This Attachment doesn’t require an Attachmen</t>
        </is>
      </c>
    </row>
    <row r="24">
      <c r="A24" s="21" t="inlineStr">
        <is>
          <t>SMG Cyclic Internals</t>
        </is>
      </c>
      <c r="B24" s="21" t="inlineStr">
        <is>
          <t>Апгрейды оружия</t>
        </is>
      </c>
      <c r="C24" s="21" t="inlineStr"/>
      <c r="D24" s="21" t="inlineStr"/>
      <c r="E24" s="21" t="inlineStr"/>
      <c r="F24" s="31" t="n"/>
      <c r="G24" s="31" t="n"/>
      <c r="H24" s="31" t="n"/>
      <c r="I24" s="31" t="n"/>
      <c r="J24" s="31" t="n">
        <v>0</v>
      </c>
      <c r="K24" s="31" t="n">
        <v>0</v>
      </c>
      <c r="L24" s="31" t="n">
        <v>0</v>
      </c>
      <c r="M24" s="31" t="n">
        <v>0</v>
      </c>
      <c r="N24" s="21" t="inlineStr"/>
      <c r="O24" s="21" t="inlineStr"/>
      <c r="P24" s="21" t="inlineStr"/>
      <c r="Q24" s="21" t="inlineStr"/>
      <c r="R24" s="40" t="n">
        <v>100</v>
      </c>
      <c r="S24" s="21" t="inlineStr">
        <is>
          <t>IR5 115</t>
        </is>
      </c>
      <c r="T24" s="21" t="inlineStr">
        <is>
          <t>Improving the cyclic rate of an SMG requires a familiarity with weapons that exceeds that of a typical shooter. With enough knowledge, and the right kit of precision parts, you can manage to squeeze more power out of the</t>
        </is>
      </c>
    </row>
    <row r="25">
      <c r="A25" s="21" t="inlineStr">
        <is>
          <t>Armored Chassis</t>
        </is>
      </c>
      <c r="B25" s="21" t="inlineStr">
        <is>
          <t>Апгрейды транспорта</t>
        </is>
      </c>
      <c r="C25" s="21" t="inlineStr"/>
      <c r="D25" s="21" t="inlineStr"/>
      <c r="E25" s="21" t="inlineStr"/>
      <c r="F25" s="31" t="n"/>
      <c r="G25" s="31" t="n"/>
      <c r="H25" s="31" t="n"/>
      <c r="I25" s="31" t="n"/>
      <c r="J25" s="31" t="n">
        <v>0</v>
      </c>
      <c r="K25" s="31" t="n">
        <v>0</v>
      </c>
      <c r="L25" s="31" t="n">
        <v>0</v>
      </c>
      <c r="M25" s="31" t="n">
        <v>0</v>
      </c>
      <c r="N25" s="21" t="inlineStr"/>
      <c r="O25" s="21" t="inlineStr"/>
      <c r="P25" s="21" t="inlineStr"/>
      <c r="Q25" s="21" t="inlineStr"/>
      <c r="R25" s="40" t="n">
        <v>5000</v>
      </c>
      <c r="S25" s="21" t="inlineStr">
        <is>
          <t>CP:R 163</t>
        </is>
      </c>
      <c r="T25" s="21" t="inlineStr">
        <is>
          <t>Armors the vehicle at SP13. Doesn't affect the vehicle's glass.</t>
        </is>
      </c>
    </row>
    <row r="26">
      <c r="A26" s="21" t="inlineStr">
        <is>
          <t>Bulletproof Glass</t>
        </is>
      </c>
      <c r="B26" s="21" t="inlineStr">
        <is>
          <t>Апгрейды транспорта</t>
        </is>
      </c>
      <c r="C26" s="21" t="inlineStr"/>
      <c r="D26" s="21" t="inlineStr"/>
      <c r="E26" s="21" t="inlineStr"/>
      <c r="F26" s="31" t="n"/>
      <c r="G26" s="31" t="n"/>
      <c r="H26" s="31" t="n"/>
      <c r="I26" s="31" t="n"/>
      <c r="J26" s="31" t="n">
        <v>0</v>
      </c>
      <c r="K26" s="31" t="n">
        <v>0</v>
      </c>
      <c r="L26" s="31" t="n">
        <v>0</v>
      </c>
      <c r="M26" s="31" t="n">
        <v>0</v>
      </c>
      <c r="N26" s="21" t="inlineStr"/>
      <c r="O26" s="21" t="inlineStr"/>
      <c r="P26" s="21" t="inlineStr"/>
      <c r="Q26" s="21" t="inlineStr"/>
      <c r="R26" s="40" t="n">
        <v>1000</v>
      </c>
      <c r="S26" s="21" t="inlineStr">
        <is>
          <t>CP:R 163</t>
        </is>
      </c>
      <c r="T26" s="21" t="inlineStr">
        <is>
          <t>Instead of providing no protection, all glass on the vehicle is now considered to be cover: Thin Bulletproof Glass (15 HP). If upgraded a second time, it becomes Thick Bulletproof Glass (30 HP). All windows on the vehicl</t>
        </is>
      </c>
    </row>
    <row r="27">
      <c r="A27" s="21" t="inlineStr">
        <is>
          <t>Communications Center</t>
        </is>
      </c>
      <c r="B27" s="21" t="inlineStr">
        <is>
          <t>Апгрейды транспорта</t>
        </is>
      </c>
      <c r="C27" s="21" t="inlineStr"/>
      <c r="D27" s="21" t="inlineStr"/>
      <c r="E27" s="21" t="inlineStr"/>
      <c r="F27" s="31" t="n"/>
      <c r="G27" s="31" t="n"/>
      <c r="H27" s="31" t="n"/>
      <c r="I27" s="31" t="n"/>
      <c r="J27" s="31" t="n">
        <v>0</v>
      </c>
      <c r="K27" s="31" t="n">
        <v>0</v>
      </c>
      <c r="L27" s="31" t="n">
        <v>0</v>
      </c>
      <c r="M27" s="31" t="n">
        <v>0</v>
      </c>
      <c r="N27" s="21" t="inlineStr"/>
      <c r="O27" s="21" t="inlineStr"/>
      <c r="P27" s="21" t="inlineStr"/>
      <c r="Q27" s="21" t="inlineStr"/>
      <c r="R27" s="40" t="n">
        <v>1000</v>
      </c>
      <c r="S27" s="21" t="inlineStr">
        <is>
          <t>CP:R 163</t>
        </is>
      </c>
      <c r="T27" s="21" t="inlineStr">
        <is>
          <t>Easily accessible touchscreen console with onboard Agent and storage space loaded with removable tech: 6 Radio Communicators, 6 Scrambler/Descramblers, a Radio Scanner/Music Player, a Homing Tracer with 6 button-sized li</t>
        </is>
      </c>
    </row>
    <row r="28">
      <c r="A28" s="21" t="inlineStr">
        <is>
          <t>NOS</t>
        </is>
      </c>
      <c r="B28" s="21" t="inlineStr">
        <is>
          <t>Апгрейды транспорта</t>
        </is>
      </c>
      <c r="C28" s="21" t="inlineStr"/>
      <c r="D28" s="21" t="inlineStr"/>
      <c r="E28" s="21" t="inlineStr"/>
      <c r="F28" s="31" t="n"/>
      <c r="G28" s="31" t="n"/>
      <c r="H28" s="31" t="n"/>
      <c r="I28" s="31" t="n"/>
      <c r="J28" s="31" t="n">
        <v>0</v>
      </c>
      <c r="K28" s="31" t="n">
        <v>0</v>
      </c>
      <c r="L28" s="31" t="n">
        <v>0</v>
      </c>
      <c r="M28" s="31" t="n">
        <v>0</v>
      </c>
      <c r="N28" s="21" t="inlineStr"/>
      <c r="O28" s="21" t="inlineStr"/>
      <c r="P28" s="21" t="inlineStr"/>
      <c r="Q28" s="21" t="inlineStr"/>
      <c r="R28" s="40" t="n">
        <v>1000</v>
      </c>
      <c r="S28" s="21" t="inlineStr">
        <is>
          <t>CP:R 163</t>
        </is>
      </c>
      <c r="T28" s="21" t="inlineStr">
        <is>
          <t>A burst of power when you need it. Allows you to use your Action to use an additional Move Action when driving a vehicle. Each tank of NOS can be used once per day. Each additional upgrade adds an additional tank. The ta</t>
        </is>
      </c>
    </row>
    <row r="29">
      <c r="A29" s="21" t="inlineStr">
        <is>
          <t>Onboard Flamethrower</t>
        </is>
      </c>
      <c r="B29" s="21" t="inlineStr">
        <is>
          <t>Апгрейды транспорта</t>
        </is>
      </c>
      <c r="C29" s="21" t="inlineStr"/>
      <c r="D29" s="21" t="inlineStr"/>
      <c r="E29" s="21" t="inlineStr"/>
      <c r="F29" s="31" t="n"/>
      <c r="G29" s="31" t="n"/>
      <c r="H29" s="31" t="n"/>
      <c r="I29" s="31" t="n"/>
      <c r="J29" s="31" t="n">
        <v>0</v>
      </c>
      <c r="K29" s="31" t="n">
        <v>0</v>
      </c>
      <c r="L29" s="31" t="n">
        <v>0</v>
      </c>
      <c r="M29" s="31" t="n">
        <v>0</v>
      </c>
      <c r="N29" s="21" t="inlineStr"/>
      <c r="O29" s="21" t="inlineStr"/>
      <c r="P29" s="21" t="inlineStr"/>
      <c r="Q29" s="21" t="inlineStr"/>
      <c r="R29" s="40" t="n">
        <v>1000</v>
      </c>
      <c r="S29" s="21" t="inlineStr">
        <is>
          <t>CP:R 163</t>
        </is>
      </c>
      <c r="T29" s="21" t="inlineStr">
        <is>
          <t>A Flamethrower you can mount front, side, or back-facing on the exterior of a vehicle. The driver can fire it using their Action. Cannot be reloaded while driving. Weapon cannot be removed and cannot accept weapon attach</t>
        </is>
      </c>
    </row>
    <row r="30">
      <c r="A30" s="21" t="inlineStr">
        <is>
          <t>Onboard Machinegun</t>
        </is>
      </c>
      <c r="B30" s="21" t="inlineStr">
        <is>
          <t>Апгрейды транспорта</t>
        </is>
      </c>
      <c r="C30" s="21" t="inlineStr"/>
      <c r="D30" s="21" t="inlineStr"/>
      <c r="E30" s="21" t="inlineStr"/>
      <c r="F30" s="31" t="n"/>
      <c r="G30" s="31" t="n"/>
      <c r="H30" s="31" t="n"/>
      <c r="I30" s="31" t="n"/>
      <c r="J30" s="31" t="n">
        <v>0</v>
      </c>
      <c r="K30" s="31" t="n">
        <v>0</v>
      </c>
      <c r="L30" s="31" t="n">
        <v>0</v>
      </c>
      <c r="M30" s="31" t="n">
        <v>0</v>
      </c>
      <c r="N30" s="21" t="inlineStr"/>
      <c r="O30" s="21" t="inlineStr"/>
      <c r="P30" s="21" t="inlineStr"/>
      <c r="Q30" s="21" t="inlineStr"/>
      <c r="R30" s="40" t="n">
        <v>1000</v>
      </c>
      <c r="S30" s="21" t="inlineStr">
        <is>
          <t>CP:R 163</t>
        </is>
      </c>
      <c r="T30" s="21" t="inlineStr">
        <is>
          <t>An Assault Rifle with 30 rounds only capable of using Autofire that you can mount front facing on the exterior of a vehicle. The driver can fire it using their Action. Cannot be reloaded while driving. Weapon cannot be r</t>
        </is>
      </c>
    </row>
    <row r="31">
      <c r="A31" s="21" t="inlineStr">
        <is>
          <t>Seating Upgrade</t>
        </is>
      </c>
      <c r="B31" s="21" t="inlineStr">
        <is>
          <t>Апгрейды транспорта</t>
        </is>
      </c>
      <c r="C31" s="21" t="inlineStr"/>
      <c r="D31" s="21" t="inlineStr"/>
      <c r="E31" s="21" t="inlineStr"/>
      <c r="F31" s="31" t="n"/>
      <c r="G31" s="31" t="n"/>
      <c r="H31" s="31" t="n"/>
      <c r="I31" s="31" t="n"/>
      <c r="J31" s="31" t="n">
        <v>0</v>
      </c>
      <c r="K31" s="31" t="n">
        <v>0</v>
      </c>
      <c r="L31" s="31" t="n">
        <v>0</v>
      </c>
      <c r="M31" s="31" t="n">
        <v>0</v>
      </c>
      <c r="N31" s="21" t="inlineStr"/>
      <c r="O31" s="21" t="inlineStr"/>
      <c r="P31" s="21" t="inlineStr"/>
      <c r="Q31" s="21" t="inlineStr"/>
      <c r="R31" s="40" t="n">
        <v>1000</v>
      </c>
      <c r="S31" s="21" t="inlineStr">
        <is>
          <t>CP:R 163</t>
        </is>
      </c>
      <c r="T31" s="21" t="inlineStr">
        <is>
          <t>Adds two seats to the vehicle. If desired, these extra seats can come in a sidecar, which can be fully enclosed with the same glass as the rest of the vehicle, with side windows optional. Additionally, any seats in a veh</t>
        </is>
      </c>
    </row>
    <row r="32">
      <c r="A32" s="21" t="inlineStr">
        <is>
          <t>Security Upgrade</t>
        </is>
      </c>
      <c r="B32" s="21" t="inlineStr">
        <is>
          <t>Апгрейды транспорта</t>
        </is>
      </c>
      <c r="C32" s="21" t="inlineStr"/>
      <c r="D32" s="21" t="inlineStr"/>
      <c r="E32" s="21" t="inlineStr"/>
      <c r="F32" s="31" t="n"/>
      <c r="G32" s="31" t="n"/>
      <c r="H32" s="31" t="n"/>
      <c r="I32" s="31" t="n"/>
      <c r="J32" s="31" t="n">
        <v>0</v>
      </c>
      <c r="K32" s="31" t="n">
        <v>0</v>
      </c>
      <c r="L32" s="31" t="n">
        <v>0</v>
      </c>
      <c r="M32" s="31" t="n">
        <v>0</v>
      </c>
      <c r="N32" s="21" t="inlineStr"/>
      <c r="O32" s="21" t="inlineStr"/>
      <c r="P32" s="21" t="inlineStr"/>
      <c r="Q32" s="21" t="inlineStr"/>
      <c r="R32" s="40" t="n">
        <v>5000</v>
      </c>
      <c r="S32" s="21" t="inlineStr">
        <is>
          <t>CP:R 163</t>
        </is>
      </c>
      <c r="T32" s="21" t="inlineStr">
        <is>
          <t>Replaces all the locks on the vehicle with DNA locks, which can be set up to accept a thumbprint, iris scan, blood sample, or any other desired biometric method. Such a lock cannot be unlocked without either its biometri</t>
        </is>
      </c>
    </row>
    <row r="33">
      <c r="A33" s="21" t="inlineStr">
        <is>
          <t>Smuggling Upgrade</t>
        </is>
      </c>
      <c r="B33" s="21" t="inlineStr">
        <is>
          <t>Апгрейды транспорта</t>
        </is>
      </c>
      <c r="C33" s="21" t="inlineStr"/>
      <c r="D33" s="21" t="inlineStr"/>
      <c r="E33" s="21" t="inlineStr"/>
      <c r="F33" s="31" t="n"/>
      <c r="G33" s="31" t="n"/>
      <c r="H33" s="31" t="n"/>
      <c r="I33" s="31" t="n"/>
      <c r="J33" s="31" t="n">
        <v>0</v>
      </c>
      <c r="K33" s="31" t="n">
        <v>0</v>
      </c>
      <c r="L33" s="31" t="n">
        <v>0</v>
      </c>
      <c r="M33" s="31" t="n">
        <v>0</v>
      </c>
      <c r="N33" s="21" t="inlineStr"/>
      <c r="O33" s="21" t="inlineStr"/>
      <c r="P33" s="21" t="inlineStr"/>
      <c r="Q33" s="21" t="inlineStr"/>
      <c r="R33" s="40" t="n">
        <v>1000</v>
      </c>
      <c r="S33" s="21" t="inlineStr">
        <is>
          <t>CP:R 163</t>
        </is>
      </c>
      <c r="T33" s="21" t="inlineStr">
        <is>
          <t>Upgrades the vehicle with two onboard Hidden Holsters (exactly the same rules-wise as the Cyberware of the same name) which provide the driver and one passenger with an easily accessible concealed weapon, and one large s</t>
        </is>
      </c>
    </row>
    <row r="34">
      <c r="A34" s="21" t="inlineStr">
        <is>
          <t>Heavy Chassis</t>
        </is>
      </c>
      <c r="B34" s="21" t="inlineStr">
        <is>
          <t>Апгрейды транспорта</t>
        </is>
      </c>
      <c r="C34" s="21" t="inlineStr"/>
      <c r="D34" s="21" t="inlineStr"/>
      <c r="E34" s="21" t="inlineStr"/>
      <c r="F34" s="31" t="n"/>
      <c r="G34" s="31" t="n"/>
      <c r="H34" s="31" t="n"/>
      <c r="I34" s="31" t="n"/>
      <c r="J34" s="31" t="n">
        <v>0</v>
      </c>
      <c r="K34" s="31" t="n">
        <v>0</v>
      </c>
      <c r="L34" s="31" t="n">
        <v>0</v>
      </c>
      <c r="M34" s="31" t="n">
        <v>0</v>
      </c>
      <c r="N34" s="21" t="inlineStr"/>
      <c r="O34" s="21" t="inlineStr"/>
      <c r="P34" s="21" t="inlineStr"/>
      <c r="Q34" s="21" t="inlineStr"/>
      <c r="R34" s="40" t="n">
        <v>1000</v>
      </c>
      <c r="S34" s="21" t="inlineStr">
        <is>
          <t>CP:R 164</t>
        </is>
      </c>
      <c r="T34" s="21" t="inlineStr">
        <is>
          <t>Adds 20 SDP to the vehicle. This doesn't affect the vehicle's glass. A vehicle with this upgrade can tow up to 10 tons. It might even have a large tow cable, appearance-wise. This upgrade is a prerequisite for some of th</t>
        </is>
      </c>
    </row>
    <row r="35">
      <c r="A35" s="21" t="inlineStr">
        <is>
          <t>Onboard Rocket Pod</t>
        </is>
      </c>
      <c r="B35" s="21" t="inlineStr">
        <is>
          <t>Апгрейды транспорта</t>
        </is>
      </c>
      <c r="C35" s="21" t="inlineStr"/>
      <c r="D35" s="21" t="inlineStr"/>
      <c r="E35" s="21" t="inlineStr"/>
      <c r="F35" s="31" t="n"/>
      <c r="G35" s="31" t="n"/>
      <c r="H35" s="31" t="n"/>
      <c r="I35" s="31" t="n"/>
      <c r="J35" s="31" t="n">
        <v>0</v>
      </c>
      <c r="K35" s="31" t="n">
        <v>0</v>
      </c>
      <c r="L35" s="31" t="n">
        <v>0</v>
      </c>
      <c r="M35" s="31" t="n">
        <v>0</v>
      </c>
      <c r="N35" s="21" t="inlineStr"/>
      <c r="O35" s="21" t="inlineStr"/>
      <c r="P35" s="21" t="inlineStr"/>
      <c r="Q35" s="21" t="inlineStr"/>
      <c r="R35" s="40" t="n">
        <v>5000</v>
      </c>
      <c r="S35" s="21" t="inlineStr">
        <is>
          <t>CP:R 164</t>
        </is>
      </c>
      <c r="T35" s="21" t="inlineStr">
        <is>
          <t>A Rocket Launcher with a drum of three rockets that you can mount front facing on the exterior of a vehicle. The driver can fire it using their Action. Cannot be reloaded while driving. Weapon cannot be removed and canno</t>
        </is>
      </c>
    </row>
    <row r="36">
      <c r="A36" s="21" t="inlineStr">
        <is>
          <t>Vehicle Heavy Weapon Mount</t>
        </is>
      </c>
      <c r="B36" s="21" t="inlineStr">
        <is>
          <t>Апгрейды транспорта</t>
        </is>
      </c>
      <c r="C36" s="21" t="inlineStr"/>
      <c r="D36" s="21" t="inlineStr"/>
      <c r="E36" s="21" t="inlineStr"/>
      <c r="F36" s="31" t="n"/>
      <c r="G36" s="31" t="n"/>
      <c r="H36" s="31" t="n"/>
      <c r="I36" s="31" t="n"/>
      <c r="J36" s="31" t="n">
        <v>0</v>
      </c>
      <c r="K36" s="31" t="n">
        <v>0</v>
      </c>
      <c r="L36" s="31" t="n">
        <v>0</v>
      </c>
      <c r="M36" s="31" t="n">
        <v>0</v>
      </c>
      <c r="N36" s="21" t="inlineStr"/>
      <c r="O36" s="21" t="inlineStr"/>
      <c r="P36" s="21" t="inlineStr"/>
      <c r="Q36" s="21" t="inlineStr"/>
      <c r="R36" s="40" t="n">
        <v>5000</v>
      </c>
      <c r="S36" s="21" t="inlineStr">
        <is>
          <t>CP:R 164</t>
        </is>
      </c>
      <c r="T36" s="21" t="inlineStr">
        <is>
          <t>Upgrade transforms one of the vehicle's seats into a swiveling mount for any two-handed ranged weapon, which can be fired by a passenger using their Action. The passenger also can reload this mounted weapon while the veh</t>
        </is>
      </c>
    </row>
    <row r="37">
      <c r="A37" s="21" t="inlineStr">
        <is>
          <t>Onboard Melee Weapon</t>
        </is>
      </c>
      <c r="B37" s="21" t="inlineStr">
        <is>
          <t>Апгрейды транспорта</t>
        </is>
      </c>
      <c r="C37" s="21" t="inlineStr"/>
      <c r="D37" s="21" t="inlineStr"/>
      <c r="E37" s="21" t="inlineStr"/>
      <c r="F37" s="31" t="n"/>
      <c r="G37" s="31" t="n"/>
      <c r="H37" s="31" t="n"/>
      <c r="I37" s="31" t="n"/>
      <c r="J37" s="31" t="n">
        <v>0</v>
      </c>
      <c r="K37" s="31" t="n">
        <v>0</v>
      </c>
      <c r="L37" s="31" t="n">
        <v>0</v>
      </c>
      <c r="M37" s="31" t="n">
        <v>0</v>
      </c>
      <c r="N37" s="21" t="inlineStr"/>
      <c r="O37" s="21" t="inlineStr"/>
      <c r="P37" s="21" t="inlineStr"/>
      <c r="Q37" s="21" t="inlineStr"/>
      <c r="R37" s="40" t="n">
        <v>1000</v>
      </c>
      <c r="S37" s="21" t="inlineStr">
        <is>
          <t>CP:R 164</t>
        </is>
      </c>
      <c r="T37" s="21" t="inlineStr">
        <is>
          <t>A Very Heavy Melee Weapon you can mount front, side, or back facing on the exterior of a vehicle. The driver can attack with it using their Action. Weapon cannot be removed. Multiple upgrades can be installed.</t>
        </is>
      </c>
    </row>
    <row r="38">
      <c r="A38" s="21" t="inlineStr">
        <is>
          <t>Hover Upgrade</t>
        </is>
      </c>
      <c r="B38" s="21" t="inlineStr">
        <is>
          <t>Апгрейды транспорта</t>
        </is>
      </c>
      <c r="C38" s="21" t="inlineStr"/>
      <c r="D38" s="21" t="inlineStr"/>
      <c r="E38" s="21" t="inlineStr"/>
      <c r="F38" s="31" t="n"/>
      <c r="G38" s="31" t="n"/>
      <c r="H38" s="31" t="n"/>
      <c r="I38" s="31" t="n"/>
      <c r="J38" s="31" t="n">
        <v>0</v>
      </c>
      <c r="K38" s="31" t="n">
        <v>0</v>
      </c>
      <c r="L38" s="31" t="n">
        <v>0</v>
      </c>
      <c r="M38" s="31" t="n">
        <v>0</v>
      </c>
      <c r="N38" s="21" t="inlineStr"/>
      <c r="O38" s="21" t="inlineStr"/>
      <c r="P38" s="21" t="inlineStr"/>
      <c r="Q38" s="21" t="inlineStr"/>
      <c r="R38" s="40" t="n">
        <v>5000</v>
      </c>
      <c r="S38" s="21" t="inlineStr">
        <is>
          <t>CP:R 164</t>
        </is>
      </c>
      <c r="T38" s="21" t="inlineStr">
        <is>
          <t>This upgrade installs a series of powerful fans onto the base of the vehicle that allow it to travel across the surface of the water at the speed of a Cabin Cruiser.</t>
        </is>
      </c>
    </row>
    <row r="39">
      <c r="A39" s="21" t="inlineStr">
        <is>
          <t>AV-4 Engine Upgrade</t>
        </is>
      </c>
      <c r="B39" s="21" t="inlineStr">
        <is>
          <t>Апгрейды транспорта</t>
        </is>
      </c>
      <c r="C39" s="21" t="inlineStr"/>
      <c r="D39" s="21" t="inlineStr"/>
      <c r="E39" s="21" t="inlineStr"/>
      <c r="F39" s="31" t="n"/>
      <c r="G39" s="31" t="n"/>
      <c r="H39" s="31" t="n"/>
      <c r="I39" s="31" t="n"/>
      <c r="J39" s="31" t="n">
        <v>0</v>
      </c>
      <c r="K39" s="31" t="n">
        <v>0</v>
      </c>
      <c r="L39" s="31" t="n">
        <v>0</v>
      </c>
      <c r="M39" s="31" t="n">
        <v>0</v>
      </c>
      <c r="N39" s="21" t="inlineStr"/>
      <c r="O39" s="21" t="inlineStr"/>
      <c r="P39" s="21" t="inlineStr"/>
      <c r="Q39" s="21" t="inlineStr"/>
      <c r="R39" s="40" t="n">
        <v>5000</v>
      </c>
      <c r="S39" s="21" t="inlineStr">
        <is>
          <t>CP:R 164</t>
        </is>
      </c>
      <c r="T39" s="21" t="inlineStr">
        <is>
          <t>This upgrade adds a vectored thrust turbofan engine to the vehicle, allowing flight! As far as movement is concerned, treat the vehicle as an AV-4 while it is in the air. The vehicle is piloted using the Pilot Air Vehicl</t>
        </is>
      </c>
    </row>
    <row r="40">
      <c r="A40" s="21" t="inlineStr">
        <is>
          <t>Combat Plow</t>
        </is>
      </c>
      <c r="B40" s="21" t="inlineStr">
        <is>
          <t>Апгрейды транспорта</t>
        </is>
      </c>
      <c r="C40" s="21" t="inlineStr"/>
      <c r="D40" s="21" t="inlineStr"/>
      <c r="E40" s="21" t="inlineStr"/>
      <c r="F40" s="31" t="n"/>
      <c r="G40" s="31" t="n"/>
      <c r="H40" s="31" t="n"/>
      <c r="I40" s="31" t="n"/>
      <c r="J40" s="31" t="n">
        <v>0</v>
      </c>
      <c r="K40" s="31" t="n">
        <v>0</v>
      </c>
      <c r="L40" s="31" t="n">
        <v>0</v>
      </c>
      <c r="M40" s="31" t="n">
        <v>0</v>
      </c>
      <c r="N40" s="21" t="inlineStr"/>
      <c r="O40" s="21" t="inlineStr"/>
      <c r="P40" s="21" t="inlineStr"/>
      <c r="Q40" s="21" t="inlineStr"/>
      <c r="R40" s="40" t="n">
        <v>1000</v>
      </c>
      <c r="S40" s="21" t="inlineStr">
        <is>
          <t>CP:R 164</t>
        </is>
      </c>
      <c r="T40" s="21" t="inlineStr">
        <is>
          <t>Whenever you slam the front of the vehicle into a piece of cover, another vehicle, or an unlucky pedestrian your vehicle doesn't take any damage and nobody in your vehicle suffers the Whiplash Critical Injury. If your ve</t>
        </is>
      </c>
    </row>
    <row r="41">
      <c r="A41" s="21" t="inlineStr">
        <is>
          <t>Enhanced Interface Plug Integration</t>
        </is>
      </c>
      <c r="B41" s="21" t="inlineStr">
        <is>
          <t>Апгрейды транспорта</t>
        </is>
      </c>
      <c r="C41" s="21" t="inlineStr"/>
      <c r="D41" s="21" t="inlineStr"/>
      <c r="E41" s="21" t="inlineStr"/>
      <c r="F41" s="31" t="n"/>
      <c r="G41" s="31" t="n"/>
      <c r="H41" s="31" t="n"/>
      <c r="I41" s="31" t="n"/>
      <c r="J41" s="31" t="n">
        <v>0</v>
      </c>
      <c r="K41" s="31" t="n">
        <v>0</v>
      </c>
      <c r="L41" s="31" t="n">
        <v>0</v>
      </c>
      <c r="M41" s="31" t="n">
        <v>0</v>
      </c>
      <c r="N41" s="21" t="inlineStr"/>
      <c r="O41" s="21" t="inlineStr"/>
      <c r="P41" s="21" t="inlineStr"/>
      <c r="Q41" s="21" t="inlineStr"/>
      <c r="R41" s="40" t="n">
        <v>5000</v>
      </c>
      <c r="S41" s="21" t="inlineStr">
        <is>
          <t>CP:R 165</t>
        </is>
      </c>
      <c r="T41" s="21" t="inlineStr">
        <is>
          <t>When you use your Interface Plugs to drive your bike with this upgrade, if you can dodge bullets (REF 8 or higher), and you, a passenger on your bike, or your bike are targeted by an attack that you could dodge or otherw</t>
        </is>
      </c>
    </row>
    <row r="42">
      <c r="A42" s="21" t="inlineStr">
        <is>
          <t>Deployable Spike Strip</t>
        </is>
      </c>
      <c r="B42" s="21" t="inlineStr">
        <is>
          <t>Апгрейды транспорта</t>
        </is>
      </c>
      <c r="C42" s="21" t="inlineStr"/>
      <c r="D42" s="21" t="inlineStr"/>
      <c r="E42" s="21" t="inlineStr"/>
      <c r="F42" s="31" t="n"/>
      <c r="G42" s="31" t="n"/>
      <c r="H42" s="31" t="n"/>
      <c r="I42" s="31" t="n"/>
      <c r="J42" s="31" t="n">
        <v>0</v>
      </c>
      <c r="K42" s="31" t="n">
        <v>0</v>
      </c>
      <c r="L42" s="31" t="n">
        <v>0</v>
      </c>
      <c r="M42" s="31" t="n">
        <v>0</v>
      </c>
      <c r="N42" s="21" t="inlineStr"/>
      <c r="O42" s="21" t="inlineStr"/>
      <c r="P42" s="21" t="inlineStr"/>
      <c r="Q42" s="21" t="inlineStr"/>
      <c r="R42" s="40" t="n">
        <v>1000</v>
      </c>
      <c r="S42" s="21" t="inlineStr">
        <is>
          <t>CP:R 165</t>
        </is>
      </c>
      <c r="T42" s="21" t="inlineStr">
        <is>
          <t xml:space="preserve">Can be deployed by the driver as an Action. When deployed, any closely trailing vehicles with tires must make a DV17 Drive Land Vehicle Check. Should they fail the Check, their vehicle takes 4d6 damage to its weak point </t>
        </is>
      </c>
    </row>
    <row r="43">
      <c r="A43" s="21" t="inlineStr">
        <is>
          <t>Housing Capacity</t>
        </is>
      </c>
      <c r="B43" s="21" t="inlineStr">
        <is>
          <t>Апгрейды транспорта</t>
        </is>
      </c>
      <c r="C43" s="21" t="inlineStr"/>
      <c r="D43" s="21" t="inlineStr"/>
      <c r="E43" s="21" t="inlineStr"/>
      <c r="F43" s="31" t="n"/>
      <c r="G43" s="31" t="n"/>
      <c r="H43" s="31" t="n"/>
      <c r="I43" s="31" t="n"/>
      <c r="J43" s="31" t="n">
        <v>0</v>
      </c>
      <c r="K43" s="31" t="n">
        <v>0</v>
      </c>
      <c r="L43" s="31" t="n">
        <v>0</v>
      </c>
      <c r="M43" s="31" t="n">
        <v>0</v>
      </c>
      <c r="N43" s="21" t="inlineStr"/>
      <c r="O43" s="21" t="inlineStr"/>
      <c r="P43" s="21" t="inlineStr"/>
      <c r="Q43" s="21" t="inlineStr"/>
      <c r="R43" s="40" t="n">
        <v>1000</v>
      </c>
      <c r="S43" s="21" t="inlineStr">
        <is>
          <t>CP:R 165</t>
        </is>
      </c>
      <c r="T43" s="21" t="inlineStr">
        <is>
          <t xml:space="preserve">When installed in a Groundcar or AV-4, this upgrade adds a sleeping area with 1 bed, a toilet, a shower, and a small kitchen to the vehicle, turning it into a Kombi. When installed in a Cabin Cruiser, Yacht, or Aerozep, </t>
        </is>
      </c>
    </row>
    <row r="44">
      <c r="A44" s="21" t="inlineStr">
        <is>
          <t>Aerozep Selfsealing Gasbag</t>
        </is>
      </c>
      <c r="B44" s="21" t="inlineStr">
        <is>
          <t>Апгрейды транспорта</t>
        </is>
      </c>
      <c r="C44" s="21" t="inlineStr"/>
      <c r="D44" s="21" t="inlineStr"/>
      <c r="E44" s="21" t="inlineStr"/>
      <c r="F44" s="31" t="n"/>
      <c r="G44" s="31" t="n"/>
      <c r="H44" s="31" t="n"/>
      <c r="I44" s="31" t="n"/>
      <c r="J44" s="31" t="n">
        <v>0</v>
      </c>
      <c r="K44" s="31" t="n">
        <v>0</v>
      </c>
      <c r="L44" s="31" t="n">
        <v>0</v>
      </c>
      <c r="M44" s="31" t="n">
        <v>0</v>
      </c>
      <c r="N44" s="21" t="inlineStr"/>
      <c r="O44" s="21" t="inlineStr"/>
      <c r="P44" s="21" t="inlineStr"/>
      <c r="Q44" s="21" t="inlineStr"/>
      <c r="R44" s="40" t="n">
        <v>5000</v>
      </c>
      <c r="S44" s="21" t="inlineStr">
        <is>
          <t>DL:12V 16</t>
        </is>
      </c>
      <c r="T44" s="21" t="inlineStr">
        <is>
          <t>Reinforces the vehicle’s weak points so they cannot be targeted by an Aimed Shot.</t>
        </is>
      </c>
    </row>
    <row r="45">
      <c r="A45" s="21" t="inlineStr">
        <is>
          <t>Hangar</t>
        </is>
      </c>
      <c r="B45" s="21" t="inlineStr">
        <is>
          <t>Апгрейды транспорта</t>
        </is>
      </c>
      <c r="C45" s="21" t="inlineStr"/>
      <c r="D45" s="21" t="inlineStr"/>
      <c r="E45" s="21" t="inlineStr"/>
      <c r="F45" s="31" t="n"/>
      <c r="G45" s="31" t="n"/>
      <c r="H45" s="31" t="n"/>
      <c r="I45" s="31" t="n"/>
      <c r="J45" s="31" t="n">
        <v>0</v>
      </c>
      <c r="K45" s="31" t="n">
        <v>0</v>
      </c>
      <c r="L45" s="31" t="n">
        <v>0</v>
      </c>
      <c r="M45" s="31" t="n">
        <v>0</v>
      </c>
      <c r="N45" s="21" t="inlineStr"/>
      <c r="O45" s="21" t="inlineStr"/>
      <c r="P45" s="21" t="inlineStr"/>
      <c r="Q45" s="21" t="inlineStr"/>
      <c r="R45" s="40" t="n">
        <v>5000</v>
      </c>
      <c r="S45" s="21" t="inlineStr">
        <is>
          <t>DL:12V 16</t>
        </is>
      </c>
      <c r="T45" s="21" t="inlineStr">
        <is>
          <t>Furnishes the vehicle with a safe parking space for a single non-yacht, non-aerozep vehicle. The parking space may take the form of an actual enclosed hangar, a landing pad, or a davit frame system. Passengers with acces</t>
        </is>
      </c>
    </row>
    <row r="46">
      <c r="A46" s="21" t="inlineStr">
        <is>
          <t>Reinforced Hull/Tires</t>
        </is>
      </c>
      <c r="B46" s="21" t="inlineStr">
        <is>
          <t>Апгрейды транспорта</t>
        </is>
      </c>
      <c r="C46" s="21" t="inlineStr"/>
      <c r="D46" s="21" t="inlineStr"/>
      <c r="E46" s="21" t="inlineStr"/>
      <c r="F46" s="31" t="n"/>
      <c r="G46" s="31" t="n"/>
      <c r="H46" s="31" t="n"/>
      <c r="I46" s="31" t="n"/>
      <c r="J46" s="31" t="n">
        <v>0</v>
      </c>
      <c r="K46" s="31" t="n">
        <v>0</v>
      </c>
      <c r="L46" s="31" t="n">
        <v>0</v>
      </c>
      <c r="M46" s="31" t="n">
        <v>0</v>
      </c>
      <c r="N46" s="21" t="inlineStr"/>
      <c r="O46" s="21" t="inlineStr"/>
      <c r="P46" s="21" t="inlineStr"/>
      <c r="Q46" s="21" t="inlineStr"/>
      <c r="R46" s="40" t="n">
        <v>1000</v>
      </c>
      <c r="S46" s="21" t="inlineStr">
        <is>
          <t>DL:12V 16</t>
        </is>
      </c>
      <c r="T46" s="21" t="inlineStr">
        <is>
          <t>Reinforces the vehicle’s weak points so they cannot be targeted by an Aimed Shot.</t>
        </is>
      </c>
    </row>
    <row r="47">
      <c r="A47" s="21" t="inlineStr">
        <is>
          <t>Sealed Environment</t>
        </is>
      </c>
      <c r="B47" s="21" t="inlineStr">
        <is>
          <t>Апгрейды транспорта</t>
        </is>
      </c>
      <c r="C47" s="21" t="inlineStr"/>
      <c r="D47" s="21" t="inlineStr"/>
      <c r="E47" s="21" t="inlineStr"/>
      <c r="F47" s="31" t="n"/>
      <c r="G47" s="31" t="n"/>
      <c r="H47" s="31" t="n"/>
      <c r="I47" s="31" t="n"/>
      <c r="J47" s="31" t="n">
        <v>0</v>
      </c>
      <c r="K47" s="31" t="n">
        <v>0</v>
      </c>
      <c r="L47" s="31" t="n">
        <v>0</v>
      </c>
      <c r="M47" s="31" t="n">
        <v>0</v>
      </c>
      <c r="N47" s="21" t="inlineStr"/>
      <c r="O47" s="21" t="inlineStr"/>
      <c r="P47" s="21" t="inlineStr"/>
      <c r="Q47" s="21" t="inlineStr"/>
      <c r="R47" s="40" t="n">
        <v>1000</v>
      </c>
      <c r="S47" s="21" t="inlineStr">
        <is>
          <t>DL:12V 16</t>
        </is>
      </c>
      <c r="T47" s="21" t="inlineStr">
        <is>
          <t>Environmentally seals the vehicle. Anyone inside the vehicle is protected from toxic gases, fumes, and aerosolized attacks originating from outside the vehicle. If any windows on the vehicle are destroyed, this benefit i</t>
        </is>
      </c>
    </row>
    <row r="48">
      <c r="A48" s="21" t="inlineStr">
        <is>
          <t>Submersible Upgrade</t>
        </is>
      </c>
      <c r="B48" s="21" t="inlineStr">
        <is>
          <t>Апгрейды транспорта</t>
        </is>
      </c>
      <c r="C48" s="21" t="inlineStr"/>
      <c r="D48" s="21" t="inlineStr"/>
      <c r="E48" s="21" t="inlineStr"/>
      <c r="F48" s="31" t="n"/>
      <c r="G48" s="31" t="n"/>
      <c r="H48" s="31" t="n"/>
      <c r="I48" s="31" t="n"/>
      <c r="J48" s="31" t="n">
        <v>0</v>
      </c>
      <c r="K48" s="31" t="n">
        <v>0</v>
      </c>
      <c r="L48" s="31" t="n">
        <v>0</v>
      </c>
      <c r="M48" s="31" t="n">
        <v>0</v>
      </c>
      <c r="N48" s="21" t="inlineStr"/>
      <c r="O48" s="21" t="inlineStr"/>
      <c r="P48" s="21" t="inlineStr"/>
      <c r="Q48" s="21" t="inlineStr"/>
      <c r="R48" s="40" t="n">
        <v>5000</v>
      </c>
      <c r="S48" s="21" t="inlineStr">
        <is>
          <t>DL:12V 16</t>
        </is>
      </c>
      <c r="T48" s="21" t="inlineStr">
        <is>
          <t>Waterproofs the vehicle and adds a submersible engine, allowing it to travel underwater at the speed of a Speedboat. The vehicle is piloted using the Pilot Sea Vehicle Skill while submerged.</t>
        </is>
      </c>
    </row>
    <row r="49">
      <c r="A49" s="21" t="inlineStr">
        <is>
          <t>Titanic Hull</t>
        </is>
      </c>
      <c r="B49" s="21" t="inlineStr">
        <is>
          <t>Апгрейды транспорта</t>
        </is>
      </c>
      <c r="C49" s="21" t="inlineStr"/>
      <c r="D49" s="21" t="inlineStr"/>
      <c r="E49" s="21" t="inlineStr"/>
      <c r="F49" s="31" t="n"/>
      <c r="G49" s="31" t="n"/>
      <c r="H49" s="31" t="n"/>
      <c r="I49" s="31" t="n"/>
      <c r="J49" s="31" t="n">
        <v>0</v>
      </c>
      <c r="K49" s="31" t="n">
        <v>0</v>
      </c>
      <c r="L49" s="31" t="n">
        <v>0</v>
      </c>
      <c r="M49" s="31" t="n">
        <v>0</v>
      </c>
      <c r="N49" s="21" t="inlineStr"/>
      <c r="O49" s="21" t="inlineStr"/>
      <c r="P49" s="21" t="inlineStr"/>
      <c r="Q49" s="21" t="inlineStr"/>
      <c r="R49" s="40" t="n">
        <v>5000</v>
      </c>
      <c r="S49" s="21" t="inlineStr">
        <is>
          <t>DL:12V 16</t>
        </is>
      </c>
      <c r="T49" s="21" t="inlineStr">
        <is>
          <t>Increases the SDP of the vehicle by an amount that scales with the number of rooms it has. 1 to 4 Rooms: +100 SDP 5 to 8 Rooms: +180 SDP 9 to 12 Rooms: +250 SDP 13+ Rooms: +380 SDP</t>
        </is>
      </c>
    </row>
    <row r="50">
      <c r="A50" s="21" t="inlineStr">
        <is>
          <t>Luxury Vehicle Room</t>
        </is>
      </c>
      <c r="B50" s="21" t="inlineStr">
        <is>
          <t>Апгрейды транспорта</t>
        </is>
      </c>
      <c r="C50" s="21" t="inlineStr"/>
      <c r="D50" s="21" t="inlineStr"/>
      <c r="E50" s="21" t="inlineStr"/>
      <c r="F50" s="31" t="n"/>
      <c r="G50" s="31" t="n"/>
      <c r="H50" s="31" t="n"/>
      <c r="I50" s="31" t="n"/>
      <c r="J50" s="31" t="n">
        <v>0</v>
      </c>
      <c r="K50" s="31" t="n">
        <v>0</v>
      </c>
      <c r="L50" s="31" t="n">
        <v>0</v>
      </c>
      <c r="M50" s="31" t="n">
        <v>0</v>
      </c>
      <c r="N50" s="21" t="inlineStr"/>
      <c r="O50" s="21" t="inlineStr"/>
      <c r="P50" s="21" t="inlineStr"/>
      <c r="Q50" s="21" t="inlineStr"/>
      <c r="R50" s="40" t="n">
        <v>5000</v>
      </c>
      <c r="S50" s="21" t="inlineStr">
        <is>
          <t>DL:12V 16</t>
        </is>
      </c>
      <c r="T50" s="21" t="inlineStr">
        <is>
          <t>Cost: Double the cost of a base room when purchased during vehicle construction When building a vehicle that has rooms, any room may be upgraded to a Luxury Room for double the cost of that room. A Luxury Room only diffe</t>
        </is>
      </c>
    </row>
    <row r="51">
      <c r="A51" s="21" t="inlineStr">
        <is>
          <t>Complex Vehicle Room</t>
        </is>
      </c>
      <c r="B51" s="21" t="inlineStr">
        <is>
          <t>Апгрейды транспорта</t>
        </is>
      </c>
      <c r="C51" s="21" t="inlineStr"/>
      <c r="D51" s="21" t="inlineStr"/>
      <c r="E51" s="21" t="inlineStr"/>
      <c r="F51" s="31" t="n"/>
      <c r="G51" s="31" t="n"/>
      <c r="H51" s="31" t="n"/>
      <c r="I51" s="31" t="n"/>
      <c r="J51" s="31" t="n">
        <v>0</v>
      </c>
      <c r="K51" s="31" t="n">
        <v>0</v>
      </c>
      <c r="L51" s="31" t="n">
        <v>0</v>
      </c>
      <c r="M51" s="31" t="n">
        <v>0</v>
      </c>
      <c r="N51" s="21" t="inlineStr"/>
      <c r="O51" s="21" t="inlineStr"/>
      <c r="P51" s="21" t="inlineStr"/>
      <c r="Q51" s="21" t="inlineStr"/>
      <c r="R51" s="40" t="n">
        <v>5000</v>
      </c>
      <c r="S51" s="21" t="inlineStr">
        <is>
          <t>DL:12V 16</t>
        </is>
      </c>
      <c r="T51" s="21" t="inlineStr">
        <is>
          <t>Cost: Triple the cost of a base or luxury room when purchased during vehicle construction A Complex Room is a variant base room for a vehicle. Complex Rooms are large, can serve a variety of purposes, and add to the vehi</t>
        </is>
      </c>
    </row>
    <row r="52">
      <c r="A52" s="21" t="inlineStr">
        <is>
          <t>Bottle Dynamo (Bicycle)</t>
        </is>
      </c>
      <c r="B52" s="21" t="inlineStr">
        <is>
          <t>Апгрейды транспорта</t>
        </is>
      </c>
      <c r="C52" s="21" t="inlineStr"/>
      <c r="D52" s="21" t="inlineStr"/>
      <c r="E52" s="21" t="inlineStr"/>
      <c r="F52" s="31" t="n"/>
      <c r="G52" s="31" t="n"/>
      <c r="H52" s="31" t="n"/>
      <c r="I52" s="31" t="n"/>
      <c r="J52" s="31" t="n">
        <v>0</v>
      </c>
      <c r="K52" s="31" t="n">
        <v>0</v>
      </c>
      <c r="L52" s="31" t="n">
        <v>0</v>
      </c>
      <c r="M52" s="31" t="n">
        <v>0</v>
      </c>
      <c r="N52" s="21" t="inlineStr"/>
      <c r="O52" s="21" t="inlineStr"/>
      <c r="P52" s="21" t="inlineStr"/>
      <c r="Q52" s="21" t="inlineStr"/>
      <c r="R52" s="40" t="n">
        <v>20</v>
      </c>
      <c r="S52" s="21" t="inlineStr">
        <is>
          <t>DLC:Wheels 4 · IR3 78</t>
        </is>
      </c>
      <c r="T52" s="21" t="inlineStr">
        <is>
          <t>A generator attaches to the wheels, allowing you to generate enough electrical power to charge a single battery pack, of the sort used to power Microwavers and similar weapons, with an hour’s ride.</t>
        </is>
      </c>
    </row>
    <row r="53">
      <c r="A53" s="21" t="inlineStr">
        <is>
          <t>Bulletproof Glass (Bicycle)</t>
        </is>
      </c>
      <c r="B53" s="21" t="inlineStr">
        <is>
          <t>Апгрейды транспорта</t>
        </is>
      </c>
      <c r="C53" s="21" t="inlineStr"/>
      <c r="D53" s="21" t="inlineStr"/>
      <c r="E53" s="21" t="inlineStr"/>
      <c r="F53" s="31" t="n"/>
      <c r="G53" s="31" t="n"/>
      <c r="H53" s="31" t="n"/>
      <c r="I53" s="31" t="n"/>
      <c r="J53" s="31" t="n">
        <v>0</v>
      </c>
      <c r="K53" s="31" t="n">
        <v>0</v>
      </c>
      <c r="L53" s="31" t="n">
        <v>0</v>
      </c>
      <c r="M53" s="31" t="n">
        <v>0</v>
      </c>
      <c r="N53" s="21" t="inlineStr"/>
      <c r="O53" s="21" t="inlineStr"/>
      <c r="P53" s="21" t="inlineStr"/>
      <c r="Q53" s="21" t="inlineStr"/>
      <c r="R53" s="40" t="n">
        <v>50</v>
      </c>
      <c r="S53" s="21" t="inlineStr">
        <is>
          <t>DLC:Wheels 4 · IR3 78</t>
        </is>
      </c>
      <c r="T53" s="21" t="inlineStr">
        <is>
          <t>Upgrade your trike’s plastic windows with glass, serving as thin cover with 7 HP. Requires the Enclosure upgrade.</t>
        </is>
      </c>
    </row>
    <row r="54">
      <c r="A54" s="21" t="inlineStr">
        <is>
          <t>Cycle Armor (Bicycle)</t>
        </is>
      </c>
      <c r="B54" s="21" t="inlineStr">
        <is>
          <t>Апгрейды транспорта</t>
        </is>
      </c>
      <c r="C54" s="21" t="inlineStr"/>
      <c r="D54" s="21" t="inlineStr"/>
      <c r="E54" s="21" t="inlineStr"/>
      <c r="F54" s="31" t="n"/>
      <c r="G54" s="31" t="n"/>
      <c r="H54" s="31" t="n"/>
      <c r="I54" s="31" t="n"/>
      <c r="J54" s="31" t="n">
        <v>0</v>
      </c>
      <c r="K54" s="31" t="n">
        <v>0</v>
      </c>
      <c r="L54" s="31" t="n">
        <v>0</v>
      </c>
      <c r="M54" s="31" t="n">
        <v>0</v>
      </c>
      <c r="N54" s="21" t="inlineStr"/>
      <c r="O54" s="21" t="inlineStr"/>
      <c r="P54" s="21" t="inlineStr"/>
      <c r="Q54" s="21" t="inlineStr"/>
      <c r="R54" s="40" t="n">
        <v>100</v>
      </c>
      <c r="S54" s="21" t="inlineStr">
        <is>
          <t>DLC:Wheels 4 · IR3 78</t>
        </is>
      </c>
      <c r="T54" s="21" t="inlineStr">
        <is>
          <t>Plating and reinforcement is added to your bicycle, making it more resistant to damage. It now has 7 SP. Requires the Reinforced Frame upgrade.</t>
        </is>
      </c>
    </row>
    <row r="55">
      <c r="A55" s="21" t="inlineStr">
        <is>
          <t>Electric Pedal Assist (Bicycle)</t>
        </is>
      </c>
      <c r="B55" s="21" t="inlineStr">
        <is>
          <t>Апгрейды транспорта</t>
        </is>
      </c>
      <c r="C55" s="21" t="inlineStr"/>
      <c r="D55" s="21" t="inlineStr"/>
      <c r="E55" s="21" t="inlineStr"/>
      <c r="F55" s="31" t="n"/>
      <c r="G55" s="31" t="n"/>
      <c r="H55" s="31" t="n"/>
      <c r="I55" s="31" t="n"/>
      <c r="J55" s="31" t="n">
        <v>0</v>
      </c>
      <c r="K55" s="31" t="n">
        <v>0</v>
      </c>
      <c r="L55" s="31" t="n">
        <v>0</v>
      </c>
      <c r="M55" s="31" t="n">
        <v>0</v>
      </c>
      <c r="N55" s="21" t="inlineStr"/>
      <c r="O55" s="21" t="inlineStr"/>
      <c r="P55" s="21" t="inlineStr"/>
      <c r="Q55" s="21" t="inlineStr"/>
      <c r="R55" s="40" t="n">
        <v>100</v>
      </c>
      <c r="S55" s="21" t="inlineStr">
        <is>
          <t>DLC:Wheels 4 · IR3 78</t>
        </is>
      </c>
      <c r="T55" s="21" t="inlineStr">
        <is>
          <t>A small motor is added to the bicycle, making it almost effortless to pedal. Increase the bicycle’s Speed (Narrative) to the next BODY tier or add 5 MPH (8 KPH) to Speed (Narrative) if it is at the highest tier. In addit</t>
        </is>
      </c>
    </row>
    <row r="56">
      <c r="A56" s="21" t="inlineStr">
        <is>
          <t>Enclosure (Bicycle)</t>
        </is>
      </c>
      <c r="B56" s="21" t="inlineStr">
        <is>
          <t>Апгрейды транспорта</t>
        </is>
      </c>
      <c r="C56" s="21" t="inlineStr"/>
      <c r="D56" s="21" t="inlineStr"/>
      <c r="E56" s="21" t="inlineStr"/>
      <c r="F56" s="31" t="n"/>
      <c r="G56" s="31" t="n"/>
      <c r="H56" s="31" t="n"/>
      <c r="I56" s="31" t="n"/>
      <c r="J56" s="31" t="n">
        <v>0</v>
      </c>
      <c r="K56" s="31" t="n">
        <v>0</v>
      </c>
      <c r="L56" s="31" t="n">
        <v>0</v>
      </c>
      <c r="M56" s="31" t="n">
        <v>0</v>
      </c>
      <c r="N56" s="21" t="inlineStr"/>
      <c r="O56" s="21" t="inlineStr"/>
      <c r="P56" s="21" t="inlineStr"/>
      <c r="Q56" s="21" t="inlineStr"/>
      <c r="R56" s="40" t="n">
        <v>100</v>
      </c>
      <c r="S56" s="21" t="inlineStr">
        <is>
          <t>DLC:Wheels 4 · IR3 78</t>
        </is>
      </c>
      <c r="T56" s="21" t="inlineStr">
        <is>
          <t>The bicycle is upgraded to a trike, and adds a frame and enclosing fiberglass and plastic walls around the rider to keep out the weather. If you have the Cycle Armor upgrade, it extends to the enclosure walls. Incompatib</t>
        </is>
      </c>
    </row>
    <row r="57">
      <c r="A57" s="21" t="inlineStr">
        <is>
          <t>Extended Seat (Bicycle)</t>
        </is>
      </c>
      <c r="B57" s="21" t="inlineStr">
        <is>
          <t>Апгрейды транспорта</t>
        </is>
      </c>
      <c r="C57" s="21" t="inlineStr"/>
      <c r="D57" s="21" t="inlineStr"/>
      <c r="E57" s="21" t="inlineStr"/>
      <c r="F57" s="31" t="n"/>
      <c r="G57" s="31" t="n"/>
      <c r="H57" s="31" t="n"/>
      <c r="I57" s="31" t="n"/>
      <c r="J57" s="31" t="n">
        <v>0</v>
      </c>
      <c r="K57" s="31" t="n">
        <v>0</v>
      </c>
      <c r="L57" s="31" t="n">
        <v>0</v>
      </c>
      <c r="M57" s="31" t="n">
        <v>0</v>
      </c>
      <c r="N57" s="21" t="inlineStr"/>
      <c r="O57" s="21" t="inlineStr"/>
      <c r="P57" s="21" t="inlineStr"/>
      <c r="Q57" s="21" t="inlineStr"/>
      <c r="R57" s="40" t="n">
        <v>20</v>
      </c>
      <c r="S57" s="21" t="inlineStr">
        <is>
          <t>DLC:Wheels 4 · IR3 78</t>
        </is>
      </c>
      <c r="T57" s="21" t="inlineStr">
        <is>
          <t>A longer-than-normal seat is mounted onto the bicycle, allowing the bicycle to carry a passenger behind the rider.</t>
        </is>
      </c>
    </row>
    <row r="58">
      <c r="A58" s="21" t="inlineStr">
        <is>
          <t>Folding Frame (Bicycle)</t>
        </is>
      </c>
      <c r="B58" s="21" t="inlineStr">
        <is>
          <t>Апгрейды транспорта</t>
        </is>
      </c>
      <c r="C58" s="21" t="inlineStr"/>
      <c r="D58" s="21" t="inlineStr"/>
      <c r="E58" s="21" t="inlineStr"/>
      <c r="F58" s="31" t="n"/>
      <c r="G58" s="31" t="n"/>
      <c r="H58" s="31" t="n"/>
      <c r="I58" s="31" t="n"/>
      <c r="J58" s="31" t="n">
        <v>0</v>
      </c>
      <c r="K58" s="31" t="n">
        <v>0</v>
      </c>
      <c r="L58" s="31" t="n">
        <v>0</v>
      </c>
      <c r="M58" s="31" t="n">
        <v>0</v>
      </c>
      <c r="N58" s="21" t="inlineStr"/>
      <c r="O58" s="21" t="inlineStr"/>
      <c r="P58" s="21" t="inlineStr"/>
      <c r="Q58" s="21" t="inlineStr"/>
      <c r="R58" s="40" t="n">
        <v>100</v>
      </c>
      <c r="S58" s="21" t="inlineStr">
        <is>
          <t>DLC:Wheels 4 · IR3 78</t>
        </is>
      </c>
      <c r="T58" s="21" t="inlineStr">
        <is>
          <t>The bicycle can now be folded into an easy-to-carry/stow package roughly the size of a large briefcase. Incompatible with Enclosure, the Reinforced Frame, and Smuggling Compartment upgrades.</t>
        </is>
      </c>
    </row>
    <row r="59">
      <c r="A59" s="21" t="inlineStr">
        <is>
          <t>Gun Mount (Bicycle)</t>
        </is>
      </c>
      <c r="B59" s="21" t="inlineStr">
        <is>
          <t>Апгрейды транспорта</t>
        </is>
      </c>
      <c r="C59" s="21" t="inlineStr"/>
      <c r="D59" s="21" t="inlineStr"/>
      <c r="E59" s="21" t="inlineStr"/>
      <c r="F59" s="31" t="n"/>
      <c r="G59" s="31" t="n"/>
      <c r="H59" s="31" t="n"/>
      <c r="I59" s="31" t="n"/>
      <c r="J59" s="31" t="n">
        <v>0</v>
      </c>
      <c r="K59" s="31" t="n">
        <v>0</v>
      </c>
      <c r="L59" s="31" t="n">
        <v>0</v>
      </c>
      <c r="M59" s="31" t="n">
        <v>0</v>
      </c>
      <c r="N59" s="21" t="inlineStr"/>
      <c r="O59" s="21" t="inlineStr"/>
      <c r="P59" s="21" t="inlineStr"/>
      <c r="Q59" s="21" t="inlineStr"/>
      <c r="R59" s="40" t="n">
        <v>100</v>
      </c>
      <c r="S59" s="21" t="inlineStr">
        <is>
          <t>DLC:Wheels 4 · IR3 78</t>
        </is>
      </c>
      <c r="T59" s="21" t="inlineStr">
        <is>
          <t xml:space="preserve">A mount for an Assault Rifle, Heavy SMG, or Shotgun is attached to the bicycle’s handlebars, complete with a trigger button on the grip. You do not need a free hand to fire the weapon, but it can only shoot forward. You </t>
        </is>
      </c>
    </row>
    <row r="60">
      <c r="A60" s="21" t="inlineStr">
        <is>
          <t>Neon Lighting (Bicycle)</t>
        </is>
      </c>
      <c r="B60" s="21" t="inlineStr">
        <is>
          <t>Апгрейды транспорта</t>
        </is>
      </c>
      <c r="C60" s="21" t="inlineStr"/>
      <c r="D60" s="21" t="inlineStr"/>
      <c r="E60" s="21" t="inlineStr"/>
      <c r="F60" s="31" t="n"/>
      <c r="G60" s="31" t="n"/>
      <c r="H60" s="31" t="n"/>
      <c r="I60" s="31" t="n"/>
      <c r="J60" s="31" t="n">
        <v>0</v>
      </c>
      <c r="K60" s="31" t="n">
        <v>0</v>
      </c>
      <c r="L60" s="31" t="n">
        <v>0</v>
      </c>
      <c r="M60" s="31" t="n">
        <v>0</v>
      </c>
      <c r="N60" s="21" t="inlineStr"/>
      <c r="O60" s="21" t="inlineStr"/>
      <c r="P60" s="21" t="inlineStr"/>
      <c r="Q60" s="21" t="inlineStr"/>
      <c r="R60" s="40" t="n">
        <v>20</v>
      </c>
      <c r="S60" s="21" t="inlineStr">
        <is>
          <t>DLC:Wheels 5 · IR3 79</t>
        </is>
      </c>
      <c r="T60" s="21" t="inlineStr">
        <is>
          <t>Battery-powered fiber-optic neon lighting is integrated into your bicycle’s frame and wheels to add some serious style to its substance. This counts as 1 installation of a Light Tattoo when riding, sitting on, or being n</t>
        </is>
      </c>
    </row>
    <row r="61">
      <c r="A61" s="21" t="inlineStr">
        <is>
          <t>Reinforced Frame (Bicycle)</t>
        </is>
      </c>
      <c r="B61" s="21" t="inlineStr">
        <is>
          <t>Апгрейды транспорта</t>
        </is>
      </c>
      <c r="C61" s="21" t="inlineStr"/>
      <c r="D61" s="21" t="inlineStr"/>
      <c r="E61" s="21" t="inlineStr"/>
      <c r="F61" s="31" t="n"/>
      <c r="G61" s="31" t="n"/>
      <c r="H61" s="31" t="n"/>
      <c r="I61" s="31" t="n"/>
      <c r="J61" s="31" t="n">
        <v>0</v>
      </c>
      <c r="K61" s="31" t="n">
        <v>0</v>
      </c>
      <c r="L61" s="31" t="n">
        <v>0</v>
      </c>
      <c r="M61" s="31" t="n">
        <v>0</v>
      </c>
      <c r="N61" s="21" t="inlineStr"/>
      <c r="O61" s="21" t="inlineStr"/>
      <c r="P61" s="21" t="inlineStr"/>
      <c r="Q61" s="21" t="inlineStr"/>
      <c r="R61" s="40" t="n">
        <v>100</v>
      </c>
      <c r="S61" s="21" t="inlineStr">
        <is>
          <t>DLC:Wheels 5 · IR3 79</t>
        </is>
      </c>
      <c r="T61" s="21" t="inlineStr">
        <is>
          <t>The bicycle’s frame is reinforced with additional cross-sections and bracing. This adds 5 SDP and allows those with a BODY of 11 or higher to ride. Incompatible with the Folding Frame upgrade.</t>
        </is>
      </c>
    </row>
    <row r="62">
      <c r="A62" s="21" t="inlineStr">
        <is>
          <t>Security System (Bicycle)</t>
        </is>
      </c>
      <c r="B62" s="21" t="inlineStr">
        <is>
          <t>Апгрейды транспорта</t>
        </is>
      </c>
      <c r="C62" s="21" t="inlineStr"/>
      <c r="D62" s="21" t="inlineStr"/>
      <c r="E62" s="21" t="inlineStr"/>
      <c r="F62" s="31" t="n"/>
      <c r="G62" s="31" t="n"/>
      <c r="H62" s="31" t="n"/>
      <c r="I62" s="31" t="n"/>
      <c r="J62" s="31" t="n">
        <v>0</v>
      </c>
      <c r="K62" s="31" t="n">
        <v>0</v>
      </c>
      <c r="L62" s="31" t="n">
        <v>0</v>
      </c>
      <c r="M62" s="31" t="n">
        <v>0</v>
      </c>
      <c r="N62" s="21" t="inlineStr"/>
      <c r="O62" s="21" t="inlineStr"/>
      <c r="P62" s="21" t="inlineStr"/>
      <c r="Q62" s="21" t="inlineStr"/>
      <c r="R62" s="40" t="n">
        <v>500</v>
      </c>
      <c r="S62" s="21" t="inlineStr">
        <is>
          <t>DLC:Wheels 5 · IR3 79</t>
        </is>
      </c>
      <c r="T62" s="21" t="inlineStr">
        <is>
          <t>When activated by an app on your Agent, the bicycle is electrified. Anyone attempting to grab it must succeed at a DV13 Resist Torture/Drugs Check or release the bike immediately. The bicycle is also registered with a na</t>
        </is>
      </c>
    </row>
    <row r="63">
      <c r="A63" s="21" t="inlineStr">
        <is>
          <t>Smuggling Compartment (Bicycle)</t>
        </is>
      </c>
      <c r="B63" s="21" t="inlineStr">
        <is>
          <t>Апгрейды транспорта</t>
        </is>
      </c>
      <c r="C63" s="21" t="inlineStr"/>
      <c r="D63" s="21" t="inlineStr"/>
      <c r="E63" s="21" t="inlineStr"/>
      <c r="F63" s="31" t="n"/>
      <c r="G63" s="31" t="n"/>
      <c r="H63" s="31" t="n"/>
      <c r="I63" s="31" t="n"/>
      <c r="J63" s="31" t="n">
        <v>0</v>
      </c>
      <c r="K63" s="31" t="n">
        <v>0</v>
      </c>
      <c r="L63" s="31" t="n">
        <v>0</v>
      </c>
      <c r="M63" s="31" t="n">
        <v>0</v>
      </c>
      <c r="N63" s="21" t="inlineStr"/>
      <c r="O63" s="21" t="inlineStr"/>
      <c r="P63" s="21" t="inlineStr"/>
      <c r="Q63" s="21" t="inlineStr"/>
      <c r="R63" s="40" t="n">
        <v>50</v>
      </c>
      <c r="S63" s="21" t="inlineStr">
        <is>
          <t>DLC:Wheels 5 · IR3 79</t>
        </is>
      </c>
      <c r="T63" s="21" t="inlineStr">
        <is>
          <t>A small, cleverly concealed storage space is built into the frame. It can hold objects up to 1 inch x 6 inches (2.54cm x 15.24cm). Discovering it requires a DV 17 Conceal/Reveal Object Check. Incompatible with the Foldin</t>
        </is>
      </c>
    </row>
    <row r="64">
      <c r="A64" s="21" t="inlineStr">
        <is>
          <t>Stunt Frame (Bicycle)</t>
        </is>
      </c>
      <c r="B64" s="21" t="inlineStr">
        <is>
          <t>Апгрейды транспорта</t>
        </is>
      </c>
      <c r="C64" s="21" t="inlineStr"/>
      <c r="D64" s="21" t="inlineStr"/>
      <c r="E64" s="21" t="inlineStr"/>
      <c r="F64" s="31" t="n"/>
      <c r="G64" s="31" t="n"/>
      <c r="H64" s="31" t="n"/>
      <c r="I64" s="31" t="n"/>
      <c r="J64" s="31" t="n">
        <v>0</v>
      </c>
      <c r="K64" s="31" t="n">
        <v>0</v>
      </c>
      <c r="L64" s="31" t="n">
        <v>0</v>
      </c>
      <c r="M64" s="31" t="n">
        <v>0</v>
      </c>
      <c r="N64" s="21" t="inlineStr"/>
      <c r="O64" s="21" t="inlineStr"/>
      <c r="P64" s="21" t="inlineStr"/>
      <c r="Q64" s="21" t="inlineStr"/>
      <c r="R64" s="40" t="n">
        <v>100</v>
      </c>
      <c r="S64" s="21" t="inlineStr">
        <is>
          <t>DLC:Wheels 5 · IR3 79</t>
        </is>
      </c>
      <c r="T64" s="21" t="inlineStr">
        <is>
          <t>Modifications are made to make the bicycle lighter and more agile. The rider gains +2 to Athletics Skill Checks made to perform maneuvers while on the bicycle.</t>
        </is>
      </c>
    </row>
    <row r="65">
      <c r="A65" s="21" t="inlineStr">
        <is>
          <t>Trailer (Bicycle)</t>
        </is>
      </c>
      <c r="B65" s="21" t="inlineStr">
        <is>
          <t>Апгрейды транспорта</t>
        </is>
      </c>
      <c r="C65" s="21" t="inlineStr"/>
      <c r="D65" s="21" t="inlineStr"/>
      <c r="E65" s="21" t="inlineStr"/>
      <c r="F65" s="31" t="n"/>
      <c r="G65" s="31" t="n"/>
      <c r="H65" s="31" t="n"/>
      <c r="I65" s="31" t="n"/>
      <c r="J65" s="31" t="n">
        <v>0</v>
      </c>
      <c r="K65" s="31" t="n">
        <v>0</v>
      </c>
      <c r="L65" s="31" t="n">
        <v>0</v>
      </c>
      <c r="M65" s="31" t="n">
        <v>0</v>
      </c>
      <c r="N65" s="21" t="inlineStr"/>
      <c r="O65" s="21" t="inlineStr"/>
      <c r="P65" s="21" t="inlineStr"/>
      <c r="Q65" s="21" t="inlineStr"/>
      <c r="R65" s="40" t="n">
        <v>50</v>
      </c>
      <c r="S65" s="21" t="inlineStr">
        <is>
          <t>DLC:Wheels 5 · IR3 79</t>
        </is>
      </c>
      <c r="T65" s="21" t="inlineStr">
        <is>
          <t>A small trailer you can hook onto your bicycle with a cargo area measuring 5 feet (1.5 meters) long and 1.5 feet (.46 meters) wide. It can be attached or detached from the bicycle with an Action. If the bicycle has the F</t>
        </is>
      </c>
    </row>
    <row r="66">
      <c r="A66" s="21" t="inlineStr">
        <is>
          <t>Bulletproof Shield</t>
        </is>
      </c>
      <c r="B66" s="21" t="inlineStr">
        <is>
          <t>Броня</t>
        </is>
      </c>
      <c r="C66" s="21" t="inlineStr"/>
      <c r="D66" s="21" t="inlineStr"/>
      <c r="E66" s="21" t="inlineStr"/>
      <c r="F66" s="31" t="n"/>
      <c r="G66" s="31" t="n"/>
      <c r="H66" s="31" t="n">
        <v>0</v>
      </c>
      <c r="I66" s="31" t="n">
        <v>10</v>
      </c>
      <c r="J66" s="31" t="n">
        <v>0</v>
      </c>
      <c r="K66" s="31" t="n">
        <v>0</v>
      </c>
      <c r="L66" s="31" t="n">
        <v>0</v>
      </c>
      <c r="M66" s="31" t="n">
        <v>0</v>
      </c>
      <c r="N66" s="21" t="inlineStr"/>
      <c r="O66" s="21" t="inlineStr"/>
      <c r="P66" s="21" t="inlineStr"/>
      <c r="Q66" s="21" t="inlineStr"/>
      <c r="R66" s="40" t="n">
        <v>100</v>
      </c>
      <c r="S66" s="21" t="inlineStr">
        <is>
          <t>CP:R 350</t>
        </is>
      </c>
      <c r="T66" s="21" t="inlineStr">
        <is>
          <t>A transparent polycarbonate shield that can protect you in a firefight.</t>
        </is>
      </c>
    </row>
    <row r="67">
      <c r="A67" s="21" t="inlineStr">
        <is>
          <t>Leathers</t>
        </is>
      </c>
      <c r="B67" s="21" t="inlineStr">
        <is>
          <t>Броня</t>
        </is>
      </c>
      <c r="C67" s="21" t="inlineStr"/>
      <c r="D67" s="21" t="inlineStr"/>
      <c r="E67" s="21" t="inlineStr"/>
      <c r="F67" s="31" t="n"/>
      <c r="G67" s="31" t="n"/>
      <c r="H67" s="31" t="n">
        <v>4</v>
      </c>
      <c r="I67" s="31" t="n"/>
      <c r="J67" s="31" t="n">
        <v>0</v>
      </c>
      <c r="K67" s="31" t="n">
        <v>0</v>
      </c>
      <c r="L67" s="31" t="n">
        <v>0</v>
      </c>
      <c r="M67" s="31" t="n">
        <v>0</v>
      </c>
      <c r="N67" s="21" t="inlineStr"/>
      <c r="O67" s="21" t="inlineStr"/>
      <c r="P67" s="21" t="inlineStr"/>
      <c r="Q67" s="21" t="inlineStr"/>
      <c r="R67" s="40" t="n">
        <v>20</v>
      </c>
      <c r="S67" s="21" t="inlineStr">
        <is>
          <t>CP:R 350</t>
        </is>
      </c>
      <c r="T67" s="21" t="inlineStr">
        <is>
          <t>Thin leather with reinforced pads at shoulders, hips, and gut. Favored by Nomads and other 'punks who ride bikes. This also includes all those road-warrior wannabes wearing open-butt chaps and random sports equipment.</t>
        </is>
      </c>
    </row>
    <row r="68">
      <c r="A68" s="21" t="inlineStr">
        <is>
          <t>Kevlar®</t>
        </is>
      </c>
      <c r="B68" s="21" t="inlineStr">
        <is>
          <t>Броня</t>
        </is>
      </c>
      <c r="C68" s="21" t="inlineStr"/>
      <c r="D68" s="21" t="inlineStr"/>
      <c r="E68" s="21" t="inlineStr"/>
      <c r="F68" s="31" t="n"/>
      <c r="G68" s="31" t="n"/>
      <c r="H68" s="31" t="n">
        <v>7</v>
      </c>
      <c r="I68" s="31" t="n"/>
      <c r="J68" s="31" t="n">
        <v>0</v>
      </c>
      <c r="K68" s="31" t="n">
        <v>0</v>
      </c>
      <c r="L68" s="31" t="n">
        <v>0</v>
      </c>
      <c r="M68" s="31" t="n">
        <v>0</v>
      </c>
      <c r="N68" s="21" t="inlineStr"/>
      <c r="O68" s="21" t="inlineStr"/>
      <c r="P68" s="21" t="inlineStr"/>
      <c r="Q68" s="21" t="inlineStr"/>
      <c r="R68" s="40" t="n">
        <v>50</v>
      </c>
      <c r="S68" s="21" t="inlineStr">
        <is>
          <t>CP:R 350</t>
        </is>
      </c>
      <c r="T68" s="21" t="inlineStr">
        <is>
          <t xml:space="preserve">The favored protection for the past 90 years. To quote DuPont: Kevlar® is a heat-resistant, synthetic, lightweight fiber that delivers high tensile strength that brings improved protection and performance across a range </t>
        </is>
      </c>
    </row>
    <row r="69">
      <c r="A69" s="21" t="inlineStr">
        <is>
          <t>Light Armorjack</t>
        </is>
      </c>
      <c r="B69" s="21" t="inlineStr">
        <is>
          <t>Броня</t>
        </is>
      </c>
      <c r="C69" s="21" t="inlineStr"/>
      <c r="D69" s="21" t="inlineStr"/>
      <c r="E69" s="21" t="inlineStr"/>
      <c r="F69" s="31" t="n"/>
      <c r="G69" s="31" t="n"/>
      <c r="H69" s="31" t="n">
        <v>11</v>
      </c>
      <c r="I69" s="31" t="n"/>
      <c r="J69" s="31" t="n">
        <v>0</v>
      </c>
      <c r="K69" s="31" t="n">
        <v>0</v>
      </c>
      <c r="L69" s="31" t="n">
        <v>0</v>
      </c>
      <c r="M69" s="31" t="n">
        <v>0</v>
      </c>
      <c r="N69" s="21" t="inlineStr"/>
      <c r="O69" s="21" t="inlineStr"/>
      <c r="P69" s="21" t="inlineStr"/>
      <c r="Q69" s="21" t="inlineStr"/>
      <c r="R69" s="40" t="n">
        <v>100</v>
      </c>
      <c r="S69" s="21" t="inlineStr">
        <is>
          <t>CP:R 350</t>
        </is>
      </c>
      <c r="T69" s="21" t="inlineStr">
        <is>
          <t>A combination of Kevlar® and plastic meshes inserted into the weave of the fabric. Armorjack provides superior protection, especially against high-velocity bullets.</t>
        </is>
      </c>
    </row>
    <row r="70">
      <c r="A70" s="21" t="inlineStr">
        <is>
          <t>Bodyweight Suit</t>
        </is>
      </c>
      <c r="B70" s="21" t="inlineStr">
        <is>
          <t>Броня</t>
        </is>
      </c>
      <c r="C70" s="21" t="inlineStr"/>
      <c r="D70" s="21" t="inlineStr"/>
      <c r="E70" s="21" t="inlineStr"/>
      <c r="F70" s="31" t="n"/>
      <c r="G70" s="31" t="n"/>
      <c r="H70" s="31" t="n">
        <v>11</v>
      </c>
      <c r="I70" s="31" t="n"/>
      <c r="J70" s="31" t="n">
        <v>0</v>
      </c>
      <c r="K70" s="31" t="n">
        <v>0</v>
      </c>
      <c r="L70" s="31" t="n">
        <v>0</v>
      </c>
      <c r="M70" s="31" t="n">
        <v>0</v>
      </c>
      <c r="N70" s="21" t="inlineStr"/>
      <c r="O70" s="21" t="inlineStr"/>
      <c r="P70" s="21" t="inlineStr"/>
      <c r="Q70" s="21" t="inlineStr"/>
      <c r="R70" s="40" t="n">
        <v>1000</v>
      </c>
      <c r="S70" s="21" t="inlineStr">
        <is>
          <t>CP:R 350</t>
        </is>
      </c>
      <c r="T70" s="21" t="inlineStr">
        <is>
          <t>Skinsuit with impact absorbing, sintered armorgel layered in key body areas. Surprisingly, they are also breathable and quite comfortable. Besides giving you a measure of protection, a Bodyweight Suit also has a place to</t>
        </is>
      </c>
    </row>
    <row r="71">
      <c r="A71" s="21" t="inlineStr">
        <is>
          <t>Medium Armorjack</t>
        </is>
      </c>
      <c r="B71" s="21" t="inlineStr">
        <is>
          <t>Броня</t>
        </is>
      </c>
      <c r="C71" s="21" t="inlineStr"/>
      <c r="D71" s="21" t="inlineStr"/>
      <c r="E71" s="21" t="inlineStr"/>
      <c r="F71" s="31" t="n"/>
      <c r="G71" s="31" t="n"/>
      <c r="H71" s="31" t="n">
        <v>12</v>
      </c>
      <c r="I71" s="31" t="n"/>
      <c r="J71" s="31" t="n">
        <v>-2</v>
      </c>
      <c r="K71" s="31" t="n">
        <v>-2</v>
      </c>
      <c r="L71" s="31" t="n">
        <v>-2</v>
      </c>
      <c r="M71" s="31" t="n">
        <v>0</v>
      </c>
      <c r="N71" s="21" t="inlineStr"/>
      <c r="O71" s="21" t="inlineStr"/>
      <c r="P71" s="21" t="inlineStr"/>
      <c r="Q71" s="21" t="inlineStr"/>
      <c r="R71" s="40" t="n">
        <v>100</v>
      </c>
      <c r="S71" s="21" t="inlineStr">
        <is>
          <t>CP:R 350</t>
        </is>
      </c>
      <c r="T71" s="21" t="inlineStr">
        <is>
          <t>Heavier Armorjack, with solid plastic plating, reinforced with thicker Kevlar® mesh. Typical Street wear, this combines decent protection with a decent сost.</t>
        </is>
      </c>
    </row>
    <row r="72">
      <c r="A72" s="21" t="inlineStr">
        <is>
          <t>Heavy Armorjack</t>
        </is>
      </c>
      <c r="B72" s="21" t="inlineStr">
        <is>
          <t>Броня</t>
        </is>
      </c>
      <c r="C72" s="21" t="inlineStr"/>
      <c r="D72" s="21" t="inlineStr"/>
      <c r="E72" s="21" t="inlineStr"/>
      <c r="F72" s="31" t="n"/>
      <c r="G72" s="31" t="n"/>
      <c r="H72" s="31" t="n">
        <v>13</v>
      </c>
      <c r="I72" s="31" t="n"/>
      <c r="J72" s="31" t="n">
        <v>-2</v>
      </c>
      <c r="K72" s="31" t="n">
        <v>-2</v>
      </c>
      <c r="L72" s="31" t="n">
        <v>-2</v>
      </c>
      <c r="M72" s="31" t="n">
        <v>0</v>
      </c>
      <c r="N72" s="21" t="inlineStr"/>
      <c r="O72" s="21" t="inlineStr"/>
      <c r="P72" s="21" t="inlineStr"/>
      <c r="Q72" s="21" t="inlineStr"/>
      <c r="R72" s="40" t="n">
        <v>500</v>
      </c>
      <c r="S72" s="21" t="inlineStr">
        <is>
          <t>CP:R 350</t>
        </is>
      </c>
      <c r="T72" s="21" t="inlineStr">
        <is>
          <t>The thickest Armorjack, combining denser Kevlar® and a layered mix of plastic and mesh weaves. It stops all but the heaviest attacks, but costs a pretty eb.</t>
        </is>
      </c>
    </row>
    <row r="73">
      <c r="A73" s="21" t="inlineStr">
        <is>
          <t>Flak</t>
        </is>
      </c>
      <c r="B73" s="21" t="inlineStr">
        <is>
          <t>Броня</t>
        </is>
      </c>
      <c r="C73" s="21" t="inlineStr"/>
      <c r="D73" s="21" t="inlineStr"/>
      <c r="E73" s="21" t="inlineStr"/>
      <c r="F73" s="31" t="n"/>
      <c r="G73" s="31" t="n"/>
      <c r="H73" s="31" t="n">
        <v>15</v>
      </c>
      <c r="I73" s="31" t="n"/>
      <c r="J73" s="31" t="n">
        <v>-4</v>
      </c>
      <c r="K73" s="31" t="n">
        <v>-4</v>
      </c>
      <c r="L73" s="31" t="n">
        <v>-4</v>
      </c>
      <c r="M73" s="31" t="n">
        <v>0</v>
      </c>
      <c r="N73" s="21" t="inlineStr"/>
      <c r="O73" s="21" t="inlineStr"/>
      <c r="P73" s="21" t="inlineStr"/>
      <c r="Q73" s="21" t="inlineStr"/>
      <c r="R73" s="40" t="n">
        <v>500</v>
      </c>
      <c r="S73" s="21" t="inlineStr">
        <is>
          <t>CP:R 350</t>
        </is>
      </c>
      <c r="T73" s="21" t="inlineStr">
        <is>
          <t>This is the 21st century version of the time-honored flak vest and pants with metal plates designed to provide protection from high explosive weaponry, artillery, grenades, shotguns, and anti-personnel mines. Modern flak</t>
        </is>
      </c>
    </row>
    <row r="74">
      <c r="A74" s="21" t="inlineStr">
        <is>
          <t>Metalgear®</t>
        </is>
      </c>
      <c r="B74" s="21" t="inlineStr">
        <is>
          <t>Броня</t>
        </is>
      </c>
      <c r="C74" s="21" t="inlineStr"/>
      <c r="D74" s="21" t="inlineStr"/>
      <c r="E74" s="21" t="inlineStr"/>
      <c r="F74" s="31" t="n"/>
      <c r="G74" s="31" t="n"/>
      <c r="H74" s="31" t="n">
        <v>18</v>
      </c>
      <c r="I74" s="31" t="n"/>
      <c r="J74" s="31" t="n">
        <v>-4</v>
      </c>
      <c r="K74" s="31" t="n">
        <v>-4</v>
      </c>
      <c r="L74" s="31" t="n">
        <v>-4</v>
      </c>
      <c r="M74" s="31" t="n">
        <v>0</v>
      </c>
      <c r="N74" s="21" t="inlineStr"/>
      <c r="O74" s="21" t="inlineStr"/>
      <c r="P74" s="21" t="inlineStr"/>
      <c r="Q74" s="21" t="inlineStr"/>
      <c r="R74" s="40" t="n">
        <v>5000</v>
      </c>
      <c r="S74" s="21" t="inlineStr">
        <is>
          <t>CP:R 350</t>
        </is>
      </c>
      <c r="T74" s="21" t="inlineStr">
        <is>
          <t>You know how Evil Empire Storm Troopers just seem to stand there and take the hit? Metalgear® is the Dark Future equivalent of that type of armor: solid metal and plastic plates on a mesh body cover. Metalgear® will stop</t>
        </is>
      </c>
    </row>
    <row r="75">
      <c r="A75" s="21" t="inlineStr">
        <is>
          <t>The Dirk Combat Jacket</t>
        </is>
      </c>
      <c r="B75" s="21" t="inlineStr">
        <is>
          <t>Броня</t>
        </is>
      </c>
      <c r="C75" s="21" t="inlineStr"/>
      <c r="D75" s="21" t="inlineStr"/>
      <c r="E75" s="21" t="inlineStr"/>
      <c r="F75" s="31" t="n"/>
      <c r="G75" s="31" t="n"/>
      <c r="H75" s="31" t="n">
        <v>11</v>
      </c>
      <c r="I75" s="31" t="n"/>
      <c r="J75" s="31" t="n">
        <v>0</v>
      </c>
      <c r="K75" s="31" t="n">
        <v>0</v>
      </c>
      <c r="L75" s="31" t="n">
        <v>0</v>
      </c>
      <c r="M75" s="31" t="n">
        <v>0</v>
      </c>
      <c r="N75" s="21" t="inlineStr"/>
      <c r="O75" s="21" t="inlineStr"/>
      <c r="P75" s="21" t="inlineStr"/>
      <c r="Q75" s="21" t="inlineStr"/>
      <c r="R75" s="40" t="n">
        <v>500</v>
      </c>
      <c r="S75" s="21" t="inlineStr">
        <is>
          <t>BC 28</t>
        </is>
      </c>
      <c r="T75" s="21" t="inlineStr">
        <is>
          <t>The Dirk is Light Armorjack Body Armor with the appearance of Leisurewear Fashion. Two standard-size clips of ammunition can be concealed in the jacket</t>
        </is>
      </c>
    </row>
    <row r="76">
      <c r="A76" s="21" t="inlineStr">
        <is>
          <t>Shock Armor</t>
        </is>
      </c>
      <c r="B76" s="21" t="inlineStr">
        <is>
          <t>Броня</t>
        </is>
      </c>
      <c r="C76" s="21" t="inlineStr"/>
      <c r="D76" s="21" t="inlineStr"/>
      <c r="E76" s="21" t="inlineStr"/>
      <c r="F76" s="31" t="n"/>
      <c r="G76" s="31" t="n"/>
      <c r="H76" s="31" t="n">
        <v>7</v>
      </c>
      <c r="I76" s="31" t="n"/>
      <c r="J76" s="31" t="n">
        <v>0</v>
      </c>
      <c r="K76" s="31" t="n">
        <v>0</v>
      </c>
      <c r="L76" s="31" t="n">
        <v>0</v>
      </c>
      <c r="M76" s="31" t="n">
        <v>0</v>
      </c>
      <c r="N76" s="21" t="inlineStr"/>
      <c r="O76" s="21" t="inlineStr"/>
      <c r="P76" s="21" t="inlineStr"/>
      <c r="Q76" s="21" t="inlineStr"/>
      <c r="R76" s="40" t="n">
        <v>500</v>
      </c>
      <c r="S76" s="21" t="inlineStr">
        <is>
          <t>BC 29</t>
        </is>
      </c>
      <c r="T76" s="21" t="inlineStr">
        <is>
          <t xml:space="preserve">Gibson Battlegear Shock Armor is Kevlar® Body Armor. When you are the defender in a grapple, you can use an Action to send a pulse of electricity into the armor, forcing the attacker in the grapple to make a DV15 Resist </t>
        </is>
      </c>
    </row>
    <row r="77">
      <c r="A77" s="21" t="inlineStr">
        <is>
          <t>Fire Brand Bunker Gear</t>
        </is>
      </c>
      <c r="B77" s="21" t="inlineStr">
        <is>
          <t>Броня</t>
        </is>
      </c>
      <c r="C77" s="21" t="inlineStr"/>
      <c r="D77" s="21" t="inlineStr"/>
      <c r="E77" s="21" t="inlineStr"/>
      <c r="F77" s="31" t="n"/>
      <c r="G77" s="31" t="n"/>
      <c r="H77" s="31" t="n">
        <v>15</v>
      </c>
      <c r="I77" s="31" t="n"/>
      <c r="J77" s="31" t="n">
        <v>-4</v>
      </c>
      <c r="K77" s="31" t="n">
        <v>-4</v>
      </c>
      <c r="L77" s="31" t="n">
        <v>-4</v>
      </c>
      <c r="M77" s="31" t="n">
        <v>0</v>
      </c>
      <c r="N77" s="21" t="inlineStr"/>
      <c r="O77" s="21" t="inlineStr"/>
      <c r="P77" s="21" t="inlineStr"/>
      <c r="Q77" s="21" t="inlineStr"/>
      <c r="R77" s="40" t="n">
        <v>1000</v>
      </c>
      <c r="S77" s="21" t="inlineStr">
        <is>
          <t>BC 29</t>
        </is>
      </c>
      <c r="T77" s="21" t="inlineStr">
        <is>
          <t>Fire Brand Bunker Gear is Flak Armor. Unlike other armor, it isn’t bought in two pieces and must always be worn on both your body and head locations. When repaired, both pieces are repaired at the same time. When the arm</t>
        </is>
      </c>
    </row>
    <row r="78">
      <c r="A78" s="21" t="inlineStr">
        <is>
          <t>Tactical Smart Armor</t>
        </is>
      </c>
      <c r="B78" s="21" t="inlineStr">
        <is>
          <t>Броня</t>
        </is>
      </c>
      <c r="C78" s="21" t="inlineStr"/>
      <c r="D78" s="21" t="inlineStr"/>
      <c r="E78" s="21" t="inlineStr"/>
      <c r="F78" s="31" t="n"/>
      <c r="G78" s="31" t="n"/>
      <c r="H78" s="31" t="n">
        <v>12</v>
      </c>
      <c r="I78" s="31" t="n"/>
      <c r="J78" s="31" t="n">
        <v>-2</v>
      </c>
      <c r="K78" s="31" t="n">
        <v>-2</v>
      </c>
      <c r="L78" s="31" t="n">
        <v>-2</v>
      </c>
      <c r="M78" s="31" t="n">
        <v>0</v>
      </c>
      <c r="N78" s="21" t="inlineStr"/>
      <c r="O78" s="21" t="inlineStr"/>
      <c r="P78" s="21" t="inlineStr"/>
      <c r="Q78" s="21" t="inlineStr"/>
      <c r="R78" s="40" t="n">
        <v>1000</v>
      </c>
      <c r="S78" s="21" t="inlineStr">
        <is>
          <t>BC 30</t>
        </is>
      </c>
      <c r="T78" s="21" t="inlineStr">
        <is>
          <t>The Gibson Battlegear Tactical Smart Armor is Medium Armorjack Armor with built-in Smart Glasses. Unlike other armor, it isn’t bought in two pieces and must always be worn on both your body and head location. When repair</t>
        </is>
      </c>
    </row>
    <row r="79">
      <c r="A79" s="21" t="inlineStr">
        <is>
          <t>Laser Light Street Jacket</t>
        </is>
      </c>
      <c r="B79" s="21" t="inlineStr">
        <is>
          <t>Броня</t>
        </is>
      </c>
      <c r="C79" s="21" t="inlineStr"/>
      <c r="D79" s="21" t="inlineStr"/>
      <c r="E79" s="21" t="inlineStr"/>
      <c r="F79" s="31" t="n"/>
      <c r="G79" s="31" t="n"/>
      <c r="H79" s="31" t="n">
        <v>11</v>
      </c>
      <c r="I79" s="31" t="n"/>
      <c r="J79" s="31" t="n">
        <v>0</v>
      </c>
      <c r="K79" s="31" t="n">
        <v>0</v>
      </c>
      <c r="L79" s="31" t="n">
        <v>0</v>
      </c>
      <c r="M79" s="31" t="n">
        <v>0</v>
      </c>
      <c r="N79" s="21" t="inlineStr"/>
      <c r="O79" s="21" t="inlineStr"/>
      <c r="P79" s="21" t="inlineStr"/>
      <c r="Q79" s="21" t="inlineStr"/>
      <c r="R79" s="40" t="n">
        <v>100</v>
      </c>
      <c r="S79" s="21" t="inlineStr">
        <is>
          <t>BC 31</t>
        </is>
      </c>
      <c r="T79" s="21" t="inlineStr">
        <is>
          <t>A Laser Light Jacket is Light Armorjack Body Armor with the appearance of Urban Flash Fashion. Additionally, it counts as 1 installation of Light Tattoo Fashionware when worn, making it helpful for reaching the +2 Wardro</t>
        </is>
      </c>
    </row>
    <row r="80">
      <c r="A80" s="21" t="inlineStr">
        <is>
          <t>Lotos Netsuit</t>
        </is>
      </c>
      <c r="B80" s="21" t="inlineStr">
        <is>
          <t>Броня</t>
        </is>
      </c>
      <c r="C80" s="21" t="inlineStr"/>
      <c r="D80" s="21" t="inlineStr"/>
      <c r="E80" s="21" t="inlineStr"/>
      <c r="F80" s="31" t="n"/>
      <c r="G80" s="31" t="n"/>
      <c r="H80" s="31" t="n">
        <v>13</v>
      </c>
      <c r="I80" s="31" t="n"/>
      <c r="J80" s="31" t="n">
        <v>-2</v>
      </c>
      <c r="K80" s="31" t="n">
        <v>-2</v>
      </c>
      <c r="L80" s="31" t="n">
        <v>-2</v>
      </c>
      <c r="M80" s="31" t="n">
        <v>0</v>
      </c>
      <c r="N80" s="21" t="inlineStr"/>
      <c r="O80" s="21" t="inlineStr"/>
      <c r="P80" s="21" t="inlineStr"/>
      <c r="Q80" s="21" t="inlineStr"/>
      <c r="R80" s="40" t="n">
        <v>5000</v>
      </c>
      <c r="S80" s="21" t="inlineStr">
        <is>
          <t>BC 31</t>
        </is>
      </c>
      <c r="T80" s="21" t="inlineStr">
        <is>
          <t>Wearing a Lotos Netsuit gives your Cyberdeck 1 extra slot (stored on the suit instead of the Cyberdeck) that can only be used for Hardware. When you take off the Netsuit, Hardware on the suit is automatically uninstalled</t>
        </is>
      </c>
    </row>
    <row r="81">
      <c r="A81" s="21" t="inlineStr">
        <is>
          <t>Montage Variable Clothing Line</t>
        </is>
      </c>
      <c r="B81" s="21" t="inlineStr">
        <is>
          <t>Броня</t>
        </is>
      </c>
      <c r="C81" s="21" t="inlineStr"/>
      <c r="D81" s="21" t="inlineStr"/>
      <c r="E81" s="21" t="inlineStr"/>
      <c r="F81" s="31" t="n"/>
      <c r="G81" s="31" t="n"/>
      <c r="H81" s="31" t="n">
        <v>11</v>
      </c>
      <c r="I81" s="31" t="n"/>
      <c r="J81" s="31" t="n">
        <v>0</v>
      </c>
      <c r="K81" s="31" t="n">
        <v>0</v>
      </c>
      <c r="L81" s="31" t="n">
        <v>0</v>
      </c>
      <c r="M81" s="31" t="n">
        <v>0</v>
      </c>
      <c r="N81" s="21" t="inlineStr"/>
      <c r="O81" s="21" t="inlineStr"/>
      <c r="P81" s="21" t="inlineStr"/>
      <c r="Q81" s="21" t="inlineStr"/>
      <c r="R81" s="40" t="n">
        <v>500</v>
      </c>
      <c r="S81" s="21" t="inlineStr">
        <is>
          <t>BC 32</t>
        </is>
      </c>
      <c r="T81" s="21" t="inlineStr">
        <is>
          <t>The Montage Variable Clothing Line is Light Armorjack with the appearance of either Generic Chic or Gang Colors, depending on which color/pattern is being displayed. With an Action, a user can change between purchased co</t>
        </is>
      </c>
    </row>
    <row r="82">
      <c r="A82" s="21" t="inlineStr">
        <is>
          <t>Masetto AirRider</t>
        </is>
      </c>
      <c r="B82" s="21" t="inlineStr">
        <is>
          <t>Броня</t>
        </is>
      </c>
      <c r="C82" s="21" t="inlineStr"/>
      <c r="D82" s="21" t="inlineStr"/>
      <c r="E82" s="21" t="inlineStr"/>
      <c r="F82" s="31" t="n"/>
      <c r="G82" s="31" t="n"/>
      <c r="H82" s="31" t="n">
        <v>7</v>
      </c>
      <c r="I82" s="31" t="n"/>
      <c r="J82" s="31" t="n">
        <v>0</v>
      </c>
      <c r="K82" s="31" t="n">
        <v>0</v>
      </c>
      <c r="L82" s="31" t="n">
        <v>0</v>
      </c>
      <c r="M82" s="31" t="n">
        <v>0</v>
      </c>
      <c r="N82" s="21" t="inlineStr"/>
      <c r="O82" s="21" t="inlineStr"/>
      <c r="P82" s="21" t="inlineStr"/>
      <c r="Q82" s="21" t="inlineStr"/>
      <c r="R82" s="40" t="n">
        <v>100</v>
      </c>
      <c r="S82" s="21" t="inlineStr">
        <is>
          <t>BC 33</t>
        </is>
      </c>
      <c r="T82" s="21" t="inlineStr">
        <is>
          <t xml:space="preserve">The AirRider is Kevlar® Body Armor. Whenever the user would experience the Whiplash Critical Injury as a result of a crash, the AirRider inflates to prevent it. Once inflated, the user’s MOVE is reduced by 5 (minimum 1) </t>
        </is>
      </c>
    </row>
    <row r="83">
      <c r="A83" s="21" t="inlineStr">
        <is>
          <t>Mimic Clothing Kit</t>
        </is>
      </c>
      <c r="B83" s="21" t="inlineStr">
        <is>
          <t>Броня</t>
        </is>
      </c>
      <c r="C83" s="21" t="inlineStr"/>
      <c r="D83" s="21" t="inlineStr"/>
      <c r="E83" s="21" t="inlineStr"/>
      <c r="F83" s="31" t="n"/>
      <c r="G83" s="31" t="n"/>
      <c r="H83" s="31" t="n">
        <v>11</v>
      </c>
      <c r="I83" s="31" t="n"/>
      <c r="J83" s="31" t="n">
        <v>0</v>
      </c>
      <c r="K83" s="31" t="n">
        <v>0</v>
      </c>
      <c r="L83" s="31" t="n">
        <v>0</v>
      </c>
      <c r="M83" s="31" t="n">
        <v>0</v>
      </c>
      <c r="N83" s="21" t="inlineStr"/>
      <c r="O83" s="21" t="inlineStr"/>
      <c r="P83" s="21" t="inlineStr"/>
      <c r="Q83" s="21" t="inlineStr"/>
      <c r="R83" s="40" t="n">
        <v>100</v>
      </c>
      <c r="S83" s="21" t="inlineStr">
        <is>
          <t>BC 33</t>
        </is>
      </c>
      <c r="T83" s="21" t="inlineStr">
        <is>
          <t>A Mimic Clothing Kit can be combined with any Fashion Jacket or Top to turn it into a piece of Light Armorjack Body Armor with the appearance of the appropriate Fashion. Once combined, removing the armor plates is imposs</t>
        </is>
      </c>
    </row>
    <row r="84">
      <c r="A84" s="21" t="inlineStr">
        <is>
          <t>Skidrow Trench</t>
        </is>
      </c>
      <c r="B84" s="21" t="inlineStr">
        <is>
          <t>Броня</t>
        </is>
      </c>
      <c r="C84" s="21" t="inlineStr"/>
      <c r="D84" s="21" t="inlineStr"/>
      <c r="E84" s="21" t="inlineStr"/>
      <c r="F84" s="31" t="n"/>
      <c r="G84" s="31" t="n"/>
      <c r="H84" s="31" t="n">
        <v>13</v>
      </c>
      <c r="I84" s="31" t="n"/>
      <c r="J84" s="31" t="n">
        <v>-4</v>
      </c>
      <c r="K84" s="31" t="n">
        <v>-4</v>
      </c>
      <c r="L84" s="31" t="n">
        <v>-4</v>
      </c>
      <c r="M84" s="31" t="n">
        <v>0</v>
      </c>
      <c r="N84" s="21" t="inlineStr"/>
      <c r="O84" s="21" t="inlineStr"/>
      <c r="P84" s="21" t="inlineStr"/>
      <c r="Q84" s="21" t="inlineStr"/>
      <c r="R84" s="40" t="n">
        <v>100</v>
      </c>
      <c r="S84" s="21" t="inlineStr">
        <is>
          <t>BC 33</t>
        </is>
      </c>
      <c r="T84" s="21" t="inlineStr">
        <is>
          <t>The SkidRow Trench is Flak Body Armor with an SP of 13 instead of 15.</t>
        </is>
      </c>
    </row>
    <row r="85">
      <c r="A85" s="21" t="inlineStr">
        <is>
          <t>Executive Armor</t>
        </is>
      </c>
      <c r="B85" s="21" t="inlineStr">
        <is>
          <t>Броня</t>
        </is>
      </c>
      <c r="C85" s="21" t="inlineStr"/>
      <c r="D85" s="21" t="inlineStr"/>
      <c r="E85" s="21" t="inlineStr"/>
      <c r="F85" s="31" t="n"/>
      <c r="G85" s="31" t="n"/>
      <c r="H85" s="31" t="n">
        <v>11</v>
      </c>
      <c r="I85" s="31" t="n"/>
      <c r="J85" s="31" t="n">
        <v>0</v>
      </c>
      <c r="K85" s="31" t="n">
        <v>0</v>
      </c>
      <c r="L85" s="31" t="n">
        <v>0</v>
      </c>
      <c r="M85" s="31" t="n">
        <v>0</v>
      </c>
      <c r="N85" s="21" t="inlineStr"/>
      <c r="O85" s="21" t="inlineStr"/>
      <c r="P85" s="21" t="inlineStr"/>
      <c r="Q85" s="21" t="inlineStr"/>
      <c r="R85" s="40" t="n">
        <v>1000</v>
      </c>
      <c r="S85" s="21" t="inlineStr">
        <is>
          <t>BC 34</t>
        </is>
      </c>
      <c r="T85" s="21" t="inlineStr">
        <is>
          <t xml:space="preserve">Torrell and Chiang Executive Armor is Light Armorjack Body Armor with the appearance of Businesswear Fashion. Each day that the Torrell and Chiang Executive Armor does not lose SP, Pick-up or Browse nanomachines present </t>
        </is>
      </c>
    </row>
    <row r="86">
      <c r="A86" s="21" t="inlineStr">
        <is>
          <t>Corporate Island</t>
        </is>
      </c>
      <c r="B86" s="21" t="inlineStr">
        <is>
          <t>Броня</t>
        </is>
      </c>
      <c r="C86" s="21" t="inlineStr"/>
      <c r="D86" s="21" t="inlineStr"/>
      <c r="E86" s="21" t="inlineStr"/>
      <c r="F86" s="31" t="n"/>
      <c r="G86" s="31" t="n"/>
      <c r="H86" s="31" t="n">
        <v>11</v>
      </c>
      <c r="I86" s="31" t="n"/>
      <c r="J86" s="31" t="n">
        <v>0</v>
      </c>
      <c r="K86" s="31" t="n">
        <v>0</v>
      </c>
      <c r="L86" s="31" t="n">
        <v>0</v>
      </c>
      <c r="M86" s="31" t="n">
        <v>0</v>
      </c>
      <c r="N86" s="21" t="inlineStr"/>
      <c r="O86" s="21" t="inlineStr"/>
      <c r="P86" s="21" t="inlineStr"/>
      <c r="Q86" s="21" t="inlineStr"/>
      <c r="R86" s="40" t="n">
        <v>500</v>
      </c>
      <c r="S86" s="21" t="inlineStr">
        <is>
          <t>BC 35</t>
        </is>
      </c>
      <c r="T86" s="21" t="inlineStr">
        <is>
          <t>The Corporate Island comes in two styles: dress and casual. The dress style is totally corporate, with solid colors, and is wrinkle-free. The casual style includes pastels and island prints and is not wrinkle-free. The C</t>
        </is>
      </c>
    </row>
    <row r="87">
      <c r="A87" s="21" t="inlineStr">
        <is>
          <t>Street Viper Riding Suit</t>
        </is>
      </c>
      <c r="B87" s="21" t="inlineStr">
        <is>
          <t>Броня</t>
        </is>
      </c>
      <c r="C87" s="21" t="inlineStr"/>
      <c r="D87" s="21" t="inlineStr"/>
      <c r="E87" s="21" t="inlineStr"/>
      <c r="F87" s="31" t="n"/>
      <c r="G87" s="31" t="n"/>
      <c r="H87" s="31" t="n">
        <v>7</v>
      </c>
      <c r="I87" s="31" t="n"/>
      <c r="J87" s="31" t="n">
        <v>0</v>
      </c>
      <c r="K87" s="31" t="n">
        <v>0</v>
      </c>
      <c r="L87" s="31" t="n">
        <v>0</v>
      </c>
      <c r="M87" s="31" t="n">
        <v>0</v>
      </c>
      <c r="N87" s="21" t="inlineStr"/>
      <c r="O87" s="21" t="inlineStr"/>
      <c r="P87" s="21" t="inlineStr"/>
      <c r="Q87" s="21" t="inlineStr"/>
      <c r="R87" s="40" t="n">
        <v>100</v>
      </c>
      <c r="S87" s="21" t="inlineStr">
        <is>
          <t>BC 36</t>
        </is>
      </c>
      <c r="T87" s="21" t="inlineStr">
        <is>
          <t>The Street Viper Riding Suit is Kevlar® Body Armor that incorporates 2 Medium Melee Weapons into the design. The weapons are always considered drawn Pick-up or Browse while the armor is being worn.</t>
        </is>
      </c>
    </row>
    <row r="88">
      <c r="A88" s="21" t="inlineStr">
        <is>
          <t>MechaMan Motorcycle Helmet</t>
        </is>
      </c>
      <c r="B88" s="21" t="inlineStr">
        <is>
          <t>Броня</t>
        </is>
      </c>
      <c r="C88" s="21" t="inlineStr"/>
      <c r="D88" s="21" t="inlineStr"/>
      <c r="E88" s="21" t="inlineStr"/>
      <c r="F88" s="31" t="n"/>
      <c r="G88" s="31" t="n"/>
      <c r="H88" s="31" t="n">
        <v>15</v>
      </c>
      <c r="I88" s="31" t="n"/>
      <c r="J88" s="31" t="n">
        <v>-4</v>
      </c>
      <c r="K88" s="31" t="n">
        <v>-4</v>
      </c>
      <c r="L88" s="31" t="n">
        <v>-4</v>
      </c>
      <c r="M88" s="31" t="n">
        <v>0</v>
      </c>
      <c r="N88" s="21" t="inlineStr"/>
      <c r="O88" s="21" t="inlineStr"/>
      <c r="P88" s="21" t="inlineStr"/>
      <c r="Q88" s="21" t="inlineStr"/>
      <c r="R88" s="40" t="n">
        <v>5000</v>
      </c>
      <c r="S88" s="21" t="inlineStr">
        <is>
          <t>BC 37</t>
        </is>
      </c>
      <c r="T88" s="21" t="inlineStr">
        <is>
          <t>The MechaMan Motorcycle Helmet is Flak Head Armor with built-in Tech upgraded Smart Glasses, which come installed with Chyron and Low Light / Infrared / UV Cybereye options.</t>
        </is>
      </c>
    </row>
    <row r="89">
      <c r="A89" s="21" t="inlineStr">
        <is>
          <t>SkidRow PackShield</t>
        </is>
      </c>
      <c r="B89" s="21" t="inlineStr">
        <is>
          <t>Броня</t>
        </is>
      </c>
      <c r="C89" s="21" t="inlineStr"/>
      <c r="D89" s="21" t="inlineStr"/>
      <c r="E89" s="21" t="inlineStr"/>
      <c r="F89" s="31" t="n"/>
      <c r="G89" s="31" t="n"/>
      <c r="H89" s="31" t="n">
        <v>0</v>
      </c>
      <c r="I89" s="31" t="n">
        <v>10</v>
      </c>
      <c r="J89" s="31" t="n">
        <v>0</v>
      </c>
      <c r="K89" s="31" t="n">
        <v>0</v>
      </c>
      <c r="L89" s="31" t="n">
        <v>0</v>
      </c>
      <c r="M89" s="31" t="n">
        <v>0</v>
      </c>
      <c r="N89" s="21" t="inlineStr"/>
      <c r="O89" s="21" t="inlineStr"/>
      <c r="P89" s="21" t="inlineStr"/>
      <c r="Q89" s="21" t="inlineStr"/>
      <c r="R89" s="40" t="n">
        <v>100</v>
      </c>
      <c r="S89" s="21" t="inlineStr">
        <is>
          <t>DL:12Gear 4 · IR4 68</t>
        </is>
      </c>
      <c r="T89" s="21" t="inlineStr">
        <is>
          <t xml:space="preserve">The PackShield is a Bulletproof Shield (HP10) with the appearance of Businesswear. It will not provide protection while worn as a backpack and must still be equipped in a hand to be effective. When worn as a backpack it </t>
        </is>
      </c>
    </row>
    <row r="90">
      <c r="A90" s="21" t="inlineStr">
        <is>
          <t>High-Density Bulletproof Shield</t>
        </is>
      </c>
      <c r="B90" s="21" t="inlineStr">
        <is>
          <t>Броня</t>
        </is>
      </c>
      <c r="C90" s="21" t="inlineStr"/>
      <c r="D90" s="21" t="inlineStr"/>
      <c r="E90" s="21" t="inlineStr"/>
      <c r="F90" s="31" t="n"/>
      <c r="G90" s="31" t="n"/>
      <c r="H90" s="31" t="n">
        <v>0</v>
      </c>
      <c r="I90" s="31" t="n">
        <v>15</v>
      </c>
      <c r="J90" s="31" t="n">
        <v>0</v>
      </c>
      <c r="K90" s="31" t="n">
        <v>0</v>
      </c>
      <c r="L90" s="31" t="n">
        <v>0</v>
      </c>
      <c r="M90" s="31" t="n">
        <v>0</v>
      </c>
      <c r="N90" s="21" t="inlineStr"/>
      <c r="O90" s="21" t="inlineStr"/>
      <c r="P90" s="21" t="inlineStr"/>
      <c r="Q90" s="21" t="inlineStr"/>
      <c r="R90" s="40" t="n">
        <v>200</v>
      </c>
      <c r="S90" s="21" t="inlineStr">
        <is>
          <t>DL:12RED 3 · IR5 99</t>
        </is>
      </c>
      <c r="T90" s="21" t="inlineStr">
        <is>
          <t>A shield with 15 HP. It cannot be installed in a Popup Shield.</t>
        </is>
      </c>
    </row>
    <row r="91">
      <c r="A91" s="21" t="inlineStr">
        <is>
          <t>Light Metalgear®</t>
        </is>
      </c>
      <c r="B91" s="21" t="inlineStr">
        <is>
          <t>Броня</t>
        </is>
      </c>
      <c r="C91" s="21" t="inlineStr"/>
      <c r="D91" s="21" t="inlineStr"/>
      <c r="E91" s="21" t="inlineStr"/>
      <c r="F91" s="31" t="n"/>
      <c r="G91" s="31" t="n"/>
      <c r="H91" s="31" t="n">
        <v>16</v>
      </c>
      <c r="I91" s="31" t="n"/>
      <c r="J91" s="31" t="n">
        <v>-3</v>
      </c>
      <c r="K91" s="31" t="n">
        <v>-3</v>
      </c>
      <c r="L91" s="31" t="n">
        <v>-3</v>
      </c>
      <c r="M91" s="31" t="n">
        <v>0</v>
      </c>
      <c r="N91" s="21" t="inlineStr"/>
      <c r="O91" s="21" t="inlineStr"/>
      <c r="P91" s="21" t="inlineStr"/>
      <c r="Q91" s="21" t="inlineStr"/>
      <c r="R91" s="40" t="n">
        <v>1000</v>
      </c>
      <c r="S91" s="21" t="inlineStr">
        <is>
          <t>DL:12RED 3 · IR5 99 · IR5 123</t>
        </is>
      </c>
      <c r="T91" s="21" t="inlineStr">
        <is>
          <t xml:space="preserve">The ultimate in full combat protection has just evolved. Today’s battlefields are faster than those of yesterday. Our new lighter model provides the same all-over clamshell protection you expect from us in a more mobile </t>
        </is>
      </c>
    </row>
    <row r="92">
      <c r="A92" s="21" t="inlineStr">
        <is>
          <t>Scavenged Armor</t>
        </is>
      </c>
      <c r="B92" s="21" t="inlineStr">
        <is>
          <t>Броня</t>
        </is>
      </c>
      <c r="C92" s="21" t="inlineStr"/>
      <c r="D92" s="21" t="inlineStr"/>
      <c r="E92" s="21" t="inlineStr"/>
      <c r="F92" s="31" t="n"/>
      <c r="G92" s="31" t="n"/>
      <c r="H92" s="31" t="n">
        <v>11</v>
      </c>
      <c r="I92" s="31" t="n"/>
      <c r="J92" s="31" t="n">
        <v>0</v>
      </c>
      <c r="K92" s="31" t="n">
        <v>0</v>
      </c>
      <c r="L92" s="31" t="n">
        <v>0</v>
      </c>
      <c r="M92" s="31" t="n">
        <v>0</v>
      </c>
      <c r="N92" s="21" t="inlineStr"/>
      <c r="O92" s="21" t="inlineStr"/>
      <c r="P92" s="21" t="inlineStr"/>
      <c r="Q92" s="21" t="inlineStr"/>
      <c r="R92" s="40" t="n">
        <v>50</v>
      </c>
      <c r="S92" s="21" t="inlineStr">
        <is>
          <t>DL:BC+ 4</t>
        </is>
      </c>
      <c r="T92" s="21" t="inlineStr">
        <is>
          <t>Scavenged Armor is body armor with SP11. Once ablated, its SP cannot be restored. At 0 SP, it falls off the wearer.</t>
        </is>
      </c>
    </row>
    <row r="93">
      <c r="A93" s="21" t="inlineStr">
        <is>
          <t>Roller Derby Padding</t>
        </is>
      </c>
      <c r="B93" s="21" t="inlineStr">
        <is>
          <t>Броня</t>
        </is>
      </c>
      <c r="C93" s="21" t="inlineStr"/>
      <c r="D93" s="21" t="inlineStr"/>
      <c r="E93" s="21" t="inlineStr"/>
      <c r="F93" s="31" t="n"/>
      <c r="G93" s="31" t="n"/>
      <c r="H93" s="31" t="n">
        <v>7</v>
      </c>
      <c r="I93" s="31" t="n"/>
      <c r="J93" s="31" t="n">
        <v>0</v>
      </c>
      <c r="K93" s="31" t="n">
        <v>0</v>
      </c>
      <c r="L93" s="31" t="n">
        <v>0</v>
      </c>
      <c r="M93" s="31" t="n">
        <v>0</v>
      </c>
      <c r="N93" s="21" t="inlineStr"/>
      <c r="O93" s="21" t="inlineStr"/>
      <c r="P93" s="21" t="inlineStr"/>
      <c r="Q93" s="21" t="inlineStr"/>
      <c r="R93" s="40" t="n">
        <v>50</v>
      </c>
      <c r="S93" s="21" t="inlineStr">
        <is>
          <t>DL:CtR 9</t>
        </is>
      </c>
      <c r="T93" s="21" t="inlineStr">
        <is>
          <t>Uniform padding for roller derby as determined by regulations established by the Night City Wonderland League. Head and Body are purchased separately. Head or Body Armor with SP7. Always in a team’s specific colors.</t>
        </is>
      </c>
    </row>
    <row r="94">
      <c r="A94" s="21" t="inlineStr">
        <is>
          <t>Hybrid Metalgear®</t>
        </is>
      </c>
      <c r="B94" s="21" t="inlineStr">
        <is>
          <t>Броня</t>
        </is>
      </c>
      <c r="C94" s="21" t="inlineStr"/>
      <c r="D94" s="21" t="inlineStr"/>
      <c r="E94" s="21" t="inlineStr"/>
      <c r="F94" s="31" t="n"/>
      <c r="G94" s="31" t="n"/>
      <c r="H94" s="31" t="n">
        <v>17</v>
      </c>
      <c r="I94" s="31" t="n"/>
      <c r="J94" s="31" t="n">
        <v>-3</v>
      </c>
      <c r="K94" s="31" t="n">
        <v>-4</v>
      </c>
      <c r="L94" s="31" t="n">
        <v>-4</v>
      </c>
      <c r="M94" s="31" t="n">
        <v>0</v>
      </c>
      <c r="N94" s="21" t="inlineStr"/>
      <c r="O94" s="21" t="inlineStr"/>
      <c r="P94" s="21" t="inlineStr"/>
      <c r="Q94" s="21" t="inlineStr"/>
      <c r="R94" s="40" t="n">
        <v>2552</v>
      </c>
      <c r="S94" s="21" t="inlineStr">
        <is>
          <t>IR5 123</t>
        </is>
      </c>
      <c r="T94" s="21" t="inlineStr">
        <is>
          <t>The needs of the battlefield are unceasing, and demand the perfect blend of offense and defense. Our half-segmented model provides the same all-over clamshell protection you expect from Metalgear® with the knee and elbow</t>
        </is>
      </c>
    </row>
    <row r="95">
      <c r="A95" s="21" t="inlineStr">
        <is>
          <t>Heavy Metalgear®</t>
        </is>
      </c>
      <c r="B95" s="21" t="inlineStr">
        <is>
          <t>Броня</t>
        </is>
      </c>
      <c r="C95" s="21" t="inlineStr"/>
      <c r="D95" s="21" t="inlineStr"/>
      <c r="E95" s="21" t="inlineStr"/>
      <c r="F95" s="31" t="n"/>
      <c r="G95" s="31" t="n"/>
      <c r="H95" s="31" t="n">
        <v>19</v>
      </c>
      <c r="I95" s="31" t="n"/>
      <c r="J95" s="31" t="n">
        <v>-4</v>
      </c>
      <c r="K95" s="31" t="n">
        <v>-5</v>
      </c>
      <c r="L95" s="31" t="n">
        <v>-5</v>
      </c>
      <c r="M95" s="31" t="n">
        <v>0</v>
      </c>
      <c r="N95" s="21" t="inlineStr"/>
      <c r="O95" s="21" t="inlineStr"/>
      <c r="P95" s="21" t="inlineStr"/>
      <c r="Q95" s="21" t="inlineStr"/>
      <c r="R95" s="40" t="n">
        <v>5000</v>
      </c>
      <c r="S95" s="21" t="inlineStr">
        <is>
          <t>IR5 123</t>
        </is>
      </c>
      <c r="T95" s="21" t="inlineStr">
        <is>
          <t>The heat of some battlefields rival the fires of hell. Our maximum hardplate model provides maximum clamshell protection to survive the most intense firefights. Heavy Metalgear® is Metalgear® with an SP of 19 and an Armo</t>
        </is>
      </c>
    </row>
    <row r="96">
      <c r="A96" s="21" t="inlineStr">
        <is>
          <t>Armor Piercing Grenade</t>
        </is>
      </c>
      <c r="B96" s="21" t="inlineStr">
        <is>
          <t>Гранаты и взрывчатка</t>
        </is>
      </c>
      <c r="C96" s="21" t="inlineStr"/>
      <c r="D96" s="21" t="inlineStr"/>
      <c r="E96" s="21" t="inlineStr">
        <is>
          <t>1d10</t>
        </is>
      </c>
      <c r="F96" s="31" t="n"/>
      <c r="G96" s="31" t="n"/>
      <c r="H96" s="31" t="n"/>
      <c r="I96" s="31" t="n"/>
      <c r="J96" s="31" t="n">
        <v>0</v>
      </c>
      <c r="K96" s="31" t="n">
        <v>0</v>
      </c>
      <c r="L96" s="31" t="n">
        <v>0</v>
      </c>
      <c r="M96" s="31" t="n">
        <v>0</v>
      </c>
      <c r="N96" s="21" t="inlineStr"/>
      <c r="O96" s="21" t="inlineStr"/>
      <c r="P96" s="21" t="inlineStr"/>
      <c r="Q96" s="21" t="inlineStr"/>
      <c r="R96" s="40" t="n">
        <v>100</v>
      </c>
      <c r="S96" s="21" t="inlineStr">
        <is>
          <t>CP:R 345</t>
        </is>
      </c>
      <c r="T96" s="21" t="inlineStr">
        <is>
          <t>DEX + Athletics + 1d10 vs Grenade Launcher DV When using this ammunition, you ablate armor by 2 instead of 1 whenever you would ablate armor.</t>
        </is>
      </c>
    </row>
    <row r="97">
      <c r="A97" s="21" t="inlineStr">
        <is>
          <t>Biotoxin Grenade</t>
        </is>
      </c>
      <c r="B97" s="21" t="inlineStr">
        <is>
          <t>Гранаты и взрывчатка</t>
        </is>
      </c>
      <c r="C97" s="21" t="inlineStr"/>
      <c r="D97" s="21" t="inlineStr"/>
      <c r="E97" s="21" t="inlineStr">
        <is>
          <t>1d10</t>
        </is>
      </c>
      <c r="F97" s="31" t="n"/>
      <c r="G97" s="31" t="n"/>
      <c r="H97" s="31" t="n"/>
      <c r="I97" s="31" t="n"/>
      <c r="J97" s="31" t="n">
        <v>0</v>
      </c>
      <c r="K97" s="31" t="n">
        <v>0</v>
      </c>
      <c r="L97" s="31" t="n">
        <v>0</v>
      </c>
      <c r="M97" s="31" t="n">
        <v>0</v>
      </c>
      <c r="N97" s="21" t="inlineStr"/>
      <c r="O97" s="21" t="inlineStr"/>
      <c r="P97" s="21" t="inlineStr"/>
      <c r="Q97" s="21" t="inlineStr"/>
      <c r="R97" s="40" t="n">
        <v>500</v>
      </c>
      <c r="S97" s="21" t="inlineStr">
        <is>
          <t>CP:R 345</t>
        </is>
      </c>
      <c r="T97" s="21" t="inlineStr">
        <is>
          <t>DEX + Athletics + 1d10 vs Grenade Launcher DV When using this ammunition, you deal no damage with your attack. Anyone meat hit by your attack must instead attempt to beat a DV15 Resist Torture/Drugs Check. Anyone who fai</t>
        </is>
      </c>
    </row>
    <row r="98">
      <c r="A98" s="21" t="inlineStr">
        <is>
          <t>EMP Grenade</t>
        </is>
      </c>
      <c r="B98" s="21" t="inlineStr">
        <is>
          <t>Гранаты и взрывчатка</t>
        </is>
      </c>
      <c r="C98" s="21" t="inlineStr"/>
      <c r="D98" s="21" t="inlineStr"/>
      <c r="E98" s="21" t="inlineStr">
        <is>
          <t>1d10</t>
        </is>
      </c>
      <c r="F98" s="31" t="n"/>
      <c r="G98" s="31" t="n"/>
      <c r="H98" s="31" t="n"/>
      <c r="I98" s="31" t="n"/>
      <c r="J98" s="31" t="n">
        <v>0</v>
      </c>
      <c r="K98" s="31" t="n">
        <v>0</v>
      </c>
      <c r="L98" s="31" t="n">
        <v>0</v>
      </c>
      <c r="M98" s="31" t="n">
        <v>0</v>
      </c>
      <c r="N98" s="21" t="inlineStr"/>
      <c r="O98" s="21" t="inlineStr"/>
      <c r="P98" s="21" t="inlineStr"/>
      <c r="Q98" s="21" t="inlineStr"/>
      <c r="R98" s="40" t="n">
        <v>500</v>
      </c>
      <c r="S98" s="21" t="inlineStr">
        <is>
          <t>CP:R 345</t>
        </is>
      </c>
      <c r="T98" s="21" t="inlineStr">
        <is>
          <t>DEX + Athletics + 1d10 vs Grenade Launcher DV When using this ammunition, you deal no damage with your attack. Anyone hit by your attack must instead attempt to beat a DV15 Cybertech Check. If they fail, the GM chooses 2</t>
        </is>
      </c>
    </row>
    <row r="99">
      <c r="A99" s="21" t="inlineStr">
        <is>
          <t>Flashbang Grenade</t>
        </is>
      </c>
      <c r="B99" s="21" t="inlineStr">
        <is>
          <t>Гранаты и взрывчатка</t>
        </is>
      </c>
      <c r="C99" s="21" t="inlineStr"/>
      <c r="D99" s="21" t="inlineStr"/>
      <c r="E99" s="21" t="inlineStr">
        <is>
          <t>1d10</t>
        </is>
      </c>
      <c r="F99" s="31" t="n"/>
      <c r="G99" s="31" t="n"/>
      <c r="H99" s="31" t="n"/>
      <c r="I99" s="31" t="n"/>
      <c r="J99" s="31" t="n">
        <v>0</v>
      </c>
      <c r="K99" s="31" t="n">
        <v>0</v>
      </c>
      <c r="L99" s="31" t="n">
        <v>0</v>
      </c>
      <c r="M99" s="31" t="n">
        <v>0</v>
      </c>
      <c r="N99" s="21" t="inlineStr"/>
      <c r="O99" s="21" t="inlineStr"/>
      <c r="P99" s="21" t="inlineStr"/>
      <c r="Q99" s="21" t="inlineStr"/>
      <c r="R99" s="40" t="n">
        <v>100</v>
      </c>
      <c r="S99" s="21" t="inlineStr">
        <is>
          <t>CP:R 346</t>
        </is>
      </c>
      <c r="T99" s="21" t="inlineStr">
        <is>
          <t>DEX + Athletics + 1d10 vs Grenade Launcher DV When using this ammunition, you deal no damage with your attack. Anyone hit by your attack must instead attempt to beat a DV15 Resist Torture/Drugs Check. Anyone who fails su</t>
        </is>
      </c>
    </row>
    <row r="100">
      <c r="A100" s="21" t="inlineStr">
        <is>
          <t>Incendiary Grenade</t>
        </is>
      </c>
      <c r="B100" s="21" t="inlineStr">
        <is>
          <t>Гранаты и взрывчатка</t>
        </is>
      </c>
      <c r="C100" s="21" t="inlineStr"/>
      <c r="D100" s="21" t="inlineStr"/>
      <c r="E100" s="21" t="inlineStr">
        <is>
          <t>1d10</t>
        </is>
      </c>
      <c r="F100" s="31" t="n"/>
      <c r="G100" s="31" t="n"/>
      <c r="H100" s="31" t="n"/>
      <c r="I100" s="31" t="n"/>
      <c r="J100" s="31" t="n">
        <v>0</v>
      </c>
      <c r="K100" s="31" t="n">
        <v>0</v>
      </c>
      <c r="L100" s="31" t="n">
        <v>0</v>
      </c>
      <c r="M100" s="31" t="n">
        <v>0</v>
      </c>
      <c r="N100" s="21" t="inlineStr"/>
      <c r="O100" s="21" t="inlineStr"/>
      <c r="P100" s="21" t="inlineStr"/>
      <c r="Q100" s="21" t="inlineStr"/>
      <c r="R100" s="40" t="n">
        <v>100</v>
      </c>
      <c r="S100" s="21" t="inlineStr">
        <is>
          <t>CP:R 346</t>
        </is>
      </c>
      <c r="T100" s="21" t="inlineStr">
        <is>
          <t>DEX + Athletics + 1d10 vs Grenade Launcher DV When using this ammunition, whenever you deal damage to a target through their armor, you ignite the target. Until your target spends an Action to put themselves out, they ta</t>
        </is>
      </c>
    </row>
    <row r="101">
      <c r="A101" s="21" t="inlineStr">
        <is>
          <t>Poison Grenade</t>
        </is>
      </c>
      <c r="B101" s="21" t="inlineStr">
        <is>
          <t>Гранаты и взрывчатка</t>
        </is>
      </c>
      <c r="C101" s="21" t="inlineStr"/>
      <c r="D101" s="21" t="inlineStr"/>
      <c r="E101" s="21" t="inlineStr">
        <is>
          <t>1d10</t>
        </is>
      </c>
      <c r="F101" s="31" t="n"/>
      <c r="G101" s="31" t="n"/>
      <c r="H101" s="31" t="n"/>
      <c r="I101" s="31" t="n"/>
      <c r="J101" s="31" t="n">
        <v>0</v>
      </c>
      <c r="K101" s="31" t="n">
        <v>0</v>
      </c>
      <c r="L101" s="31" t="n">
        <v>0</v>
      </c>
      <c r="M101" s="31" t="n">
        <v>0</v>
      </c>
      <c r="N101" s="21" t="inlineStr"/>
      <c r="O101" s="21" t="inlineStr"/>
      <c r="P101" s="21" t="inlineStr"/>
      <c r="Q101" s="21" t="inlineStr"/>
      <c r="R101" s="40" t="n">
        <v>100</v>
      </c>
      <c r="S101" s="21" t="inlineStr">
        <is>
          <t>CP:R 346</t>
        </is>
      </c>
      <c r="T101" s="21" t="inlineStr">
        <is>
          <t>DEX + Athletics + 1d10 vs Grenade Launcher DV When using this ammunition, you deal no damage with your attack. Anyone meat hit by your attack must instead attempt to beat a DV13 Resist Torture/Drugs Check. Anyone who fai</t>
        </is>
      </c>
    </row>
    <row r="102">
      <c r="A102" s="21" t="inlineStr">
        <is>
          <t>Sleep Grenade</t>
        </is>
      </c>
      <c r="B102" s="21" t="inlineStr">
        <is>
          <t>Гранаты и взрывчатка</t>
        </is>
      </c>
      <c r="C102" s="21" t="inlineStr"/>
      <c r="D102" s="21" t="inlineStr"/>
      <c r="E102" s="21" t="inlineStr">
        <is>
          <t>1d10</t>
        </is>
      </c>
      <c r="F102" s="31" t="n"/>
      <c r="G102" s="31" t="n"/>
      <c r="H102" s="31" t="n"/>
      <c r="I102" s="31" t="n"/>
      <c r="J102" s="31" t="n">
        <v>0</v>
      </c>
      <c r="K102" s="31" t="n">
        <v>0</v>
      </c>
      <c r="L102" s="31" t="n">
        <v>0</v>
      </c>
      <c r="M102" s="31" t="n">
        <v>0</v>
      </c>
      <c r="N102" s="21" t="inlineStr"/>
      <c r="O102" s="21" t="inlineStr"/>
      <c r="P102" s="21" t="inlineStr"/>
      <c r="Q102" s="21" t="inlineStr"/>
      <c r="R102" s="40" t="n">
        <v>500</v>
      </c>
      <c r="S102" s="21" t="inlineStr">
        <is>
          <t>CP:R 346</t>
        </is>
      </c>
      <c r="T102" s="21" t="inlineStr">
        <is>
          <t>DEX + Athletics + 1d10 vs Grenade Launcher DV When using this ammunition, you deal no damage with your attack. Anyone meat hit by your attack must instead attempt to beat a DV13 Resist Torture/Drugs Check. Anyone who fai</t>
        </is>
      </c>
    </row>
    <row r="103">
      <c r="A103" s="21" t="inlineStr">
        <is>
          <t>Smoke Grenade</t>
        </is>
      </c>
      <c r="B103" s="21" t="inlineStr">
        <is>
          <t>Гранаты и взрывчатка</t>
        </is>
      </c>
      <c r="C103" s="21" t="inlineStr"/>
      <c r="D103" s="21" t="inlineStr"/>
      <c r="E103" s="21" t="inlineStr">
        <is>
          <t>1d10</t>
        </is>
      </c>
      <c r="F103" s="31" t="n"/>
      <c r="G103" s="31" t="n"/>
      <c r="H103" s="31" t="n"/>
      <c r="I103" s="31" t="n"/>
      <c r="J103" s="31" t="n">
        <v>0</v>
      </c>
      <c r="K103" s="31" t="n">
        <v>0</v>
      </c>
      <c r="L103" s="31" t="n">
        <v>0</v>
      </c>
      <c r="M103" s="31" t="n">
        <v>0</v>
      </c>
      <c r="N103" s="21" t="inlineStr"/>
      <c r="O103" s="21" t="inlineStr"/>
      <c r="P103" s="21" t="inlineStr"/>
      <c r="Q103" s="21" t="inlineStr"/>
      <c r="R103" s="40" t="n">
        <v>50</v>
      </c>
      <c r="S103" s="21" t="inlineStr">
        <is>
          <t>CP:R 347</t>
        </is>
      </c>
      <c r="T103" s="21" t="inlineStr">
        <is>
          <t>DEX + Athletics + 1d10 vs Grenade Launcher DV When using this ammunition, you deal no damage with your attack. Obscures a 10m/yd by 10m/yd area with smoke for a minute on impact. The typical penalty for trying to perform</t>
        </is>
      </c>
    </row>
    <row r="104">
      <c r="A104" s="21" t="inlineStr">
        <is>
          <t>Teargas Grenade</t>
        </is>
      </c>
      <c r="B104" s="21" t="inlineStr">
        <is>
          <t>Гранаты и взрывчатка</t>
        </is>
      </c>
      <c r="C104" s="21" t="inlineStr"/>
      <c r="D104" s="21" t="inlineStr"/>
      <c r="E104" s="21" t="inlineStr">
        <is>
          <t>1d10</t>
        </is>
      </c>
      <c r="F104" s="31" t="n"/>
      <c r="G104" s="31" t="n"/>
      <c r="H104" s="31" t="n"/>
      <c r="I104" s="31" t="n"/>
      <c r="J104" s="31" t="n">
        <v>0</v>
      </c>
      <c r="K104" s="31" t="n">
        <v>0</v>
      </c>
      <c r="L104" s="31" t="n">
        <v>0</v>
      </c>
      <c r="M104" s="31" t="n">
        <v>0</v>
      </c>
      <c r="N104" s="21" t="inlineStr"/>
      <c r="O104" s="21" t="inlineStr"/>
      <c r="P104" s="21" t="inlineStr"/>
      <c r="Q104" s="21" t="inlineStr"/>
      <c r="R104" s="40" t="n">
        <v>50</v>
      </c>
      <c r="S104" s="21" t="inlineStr">
        <is>
          <t>CP:R 347</t>
        </is>
      </c>
      <c r="T104" s="21" t="inlineStr">
        <is>
          <t>DEX + Athletics + 1d10 vs Grenade Launcher DV When using this ammunition, you deal no damage with your attack. Anyone with meat eyes hit by your attack must instead attempt to beat a DV13 Resist Torture/Drugs Check. Anyo</t>
        </is>
      </c>
    </row>
    <row r="105">
      <c r="A105" s="21" t="inlineStr">
        <is>
          <t>Arachnid Grenade</t>
        </is>
      </c>
      <c r="B105" s="21" t="inlineStr">
        <is>
          <t>Гранаты и взрывчатка</t>
        </is>
      </c>
      <c r="C105" s="21" t="inlineStr"/>
      <c r="D105" s="21" t="inlineStr"/>
      <c r="E105" s="21" t="inlineStr">
        <is>
          <t>1d10</t>
        </is>
      </c>
      <c r="F105" s="31" t="n"/>
      <c r="G105" s="31" t="n"/>
      <c r="H105" s="31" t="n"/>
      <c r="I105" s="31" t="n"/>
      <c r="J105" s="31" t="n">
        <v>0</v>
      </c>
      <c r="K105" s="31" t="n">
        <v>0</v>
      </c>
      <c r="L105" s="31" t="n">
        <v>0</v>
      </c>
      <c r="M105" s="31" t="n">
        <v>0</v>
      </c>
      <c r="N105" s="21" t="inlineStr"/>
      <c r="O105" s="21" t="inlineStr"/>
      <c r="P105" s="21" t="inlineStr"/>
      <c r="Q105" s="21" t="inlineStr"/>
      <c r="R105" s="40" t="n">
        <v>100</v>
      </c>
      <c r="S105" s="21" t="inlineStr">
        <is>
          <t>BC 86</t>
        </is>
      </c>
      <c r="T105" s="21" t="inlineStr">
        <is>
          <t>DEX + Athletics + 1d10 vs Grenade Launcher DV The Arachnid is a non-lethal net grenade designed by the big brains at Centurion Essentials. This spherical explosive is filled with a highly flexible and sticky solution. Th</t>
        </is>
      </c>
    </row>
    <row r="106">
      <c r="A106" s="21" t="inlineStr">
        <is>
          <t>Shuriken Tornado Grenade</t>
        </is>
      </c>
      <c r="B106" s="21" t="inlineStr">
        <is>
          <t>Гранаты и взрывчатка</t>
        </is>
      </c>
      <c r="C106" s="21" t="inlineStr"/>
      <c r="D106" s="21" t="inlineStr"/>
      <c r="E106" s="21" t="inlineStr">
        <is>
          <t>1d10</t>
        </is>
      </c>
      <c r="F106" s="31" t="n"/>
      <c r="G106" s="31" t="n"/>
      <c r="H106" s="31" t="n"/>
      <c r="I106" s="31" t="n"/>
      <c r="J106" s="31" t="n">
        <v>0</v>
      </c>
      <c r="K106" s="31" t="n">
        <v>0</v>
      </c>
      <c r="L106" s="31" t="n">
        <v>0</v>
      </c>
      <c r="M106" s="31" t="n">
        <v>0</v>
      </c>
      <c r="N106" s="21" t="inlineStr"/>
      <c r="O106" s="21" t="inlineStr"/>
      <c r="P106" s="21" t="inlineStr"/>
      <c r="Q106" s="21" t="inlineStr"/>
      <c r="R106" s="40" t="n">
        <v>100</v>
      </c>
      <c r="S106" s="21" t="inlineStr">
        <is>
          <t>BC 87</t>
        </is>
      </c>
      <c r="T106" s="21" t="inlineStr">
        <is>
          <t>DEX + Athletics + 1d10 vs Grenade Launcher DV When Great Lakes Cutlery decided to get into the arms business, they did it with the Shuriken Tornado. This pineapple-style grenade is packed tightly with stacked shuriken an</t>
        </is>
      </c>
    </row>
    <row r="107">
      <c r="A107" s="21" t="inlineStr">
        <is>
          <t>KTech Security Grenade</t>
        </is>
      </c>
      <c r="B107" s="21" t="inlineStr">
        <is>
          <t>Гранаты и взрывчатка</t>
        </is>
      </c>
      <c r="C107" s="21" t="inlineStr"/>
      <c r="D107" s="21" t="inlineStr"/>
      <c r="E107" s="21" t="inlineStr">
        <is>
          <t>1d10</t>
        </is>
      </c>
      <c r="F107" s="31" t="n"/>
      <c r="G107" s="31" t="n"/>
      <c r="H107" s="31" t="n"/>
      <c r="I107" s="31" t="n"/>
      <c r="J107" s="31" t="n">
        <v>0</v>
      </c>
      <c r="K107" s="31" t="n">
        <v>0</v>
      </c>
      <c r="L107" s="31" t="n">
        <v>0</v>
      </c>
      <c r="M107" s="31" t="n">
        <v>0</v>
      </c>
      <c r="N107" s="21" t="inlineStr"/>
      <c r="O107" s="21" t="inlineStr"/>
      <c r="P107" s="21" t="inlineStr"/>
      <c r="Q107" s="21" t="inlineStr"/>
      <c r="R107" s="40" t="n">
        <v>100</v>
      </c>
      <c r="S107" s="21" t="inlineStr">
        <is>
          <t>BC 89</t>
        </is>
      </c>
      <c r="T107" s="21" t="inlineStr">
        <is>
          <t>DEX + Athletics + 1d10 vs Grenade Launcher DV KTech Security Grenades are carried primarily by SovOil naval security units aboard ships where fire and explosions can be a significant concern. These pineapple-style grenad</t>
        </is>
      </c>
    </row>
    <row r="108">
      <c r="A108" s="21" t="inlineStr">
        <is>
          <t>Hello Cutie Chromatic Rave Grenade</t>
        </is>
      </c>
      <c r="B108" s="21" t="inlineStr">
        <is>
          <t>Гранаты и взрывчатка</t>
        </is>
      </c>
      <c r="C108" s="21" t="inlineStr"/>
      <c r="D108" s="21" t="inlineStr"/>
      <c r="E108" s="21" t="inlineStr">
        <is>
          <t>1d10</t>
        </is>
      </c>
      <c r="F108" s="31" t="n"/>
      <c r="G108" s="31" t="n"/>
      <c r="H108" s="31" t="n"/>
      <c r="I108" s="31" t="n"/>
      <c r="J108" s="31" t="n">
        <v>0</v>
      </c>
      <c r="K108" s="31" t="n">
        <v>0</v>
      </c>
      <c r="L108" s="31" t="n">
        <v>0</v>
      </c>
      <c r="M108" s="31" t="n">
        <v>0</v>
      </c>
      <c r="N108" s="21" t="inlineStr"/>
      <c r="O108" s="21" t="inlineStr"/>
      <c r="P108" s="21" t="inlineStr"/>
      <c r="Q108" s="21" t="inlineStr"/>
      <c r="R108" s="40" t="n">
        <v>50</v>
      </c>
      <c r="S108" s="21" t="inlineStr">
        <is>
          <t>DL:12Cute 3</t>
        </is>
      </c>
      <c r="T108" s="21" t="inlineStr">
        <is>
          <t>DEX + Athletics + 1d10 vs Grenade Launcher DV Play it loud, play it bright, play it anywhere! Chromatic Rave Grenades turn any situation into a party. Just throw one to transform a drab location into the hottest club aro</t>
        </is>
      </c>
    </row>
    <row r="109">
      <c r="A109" s="21" t="inlineStr">
        <is>
          <t>CO2 Grenade</t>
        </is>
      </c>
      <c r="B109" s="21" t="inlineStr">
        <is>
          <t>Гранаты и взрывчатка</t>
        </is>
      </c>
      <c r="C109" s="21" t="inlineStr"/>
      <c r="D109" s="21" t="inlineStr"/>
      <c r="E109" s="21" t="inlineStr">
        <is>
          <t>1d10</t>
        </is>
      </c>
      <c r="F109" s="31" t="n"/>
      <c r="G109" s="31" t="n"/>
      <c r="H109" s="31" t="n"/>
      <c r="I109" s="31" t="n"/>
      <c r="J109" s="31" t="n">
        <v>0</v>
      </c>
      <c r="K109" s="31" t="n">
        <v>0</v>
      </c>
      <c r="L109" s="31" t="n">
        <v>0</v>
      </c>
      <c r="M109" s="31" t="n">
        <v>0</v>
      </c>
      <c r="N109" s="21" t="inlineStr"/>
      <c r="O109" s="21" t="inlineStr"/>
      <c r="P109" s="21" t="inlineStr"/>
      <c r="Q109" s="21" t="inlineStr"/>
      <c r="R109" s="40" t="n">
        <v>50</v>
      </c>
      <c r="S109" s="21" t="inlineStr">
        <is>
          <t>IR3 105</t>
        </is>
      </c>
      <c r="T109" s="21" t="inlineStr">
        <is>
          <t>DEX + Athletics + 1d10 vs Grenade Launcher DV C02 grenades are the future of firefighting in urban environments, especially where water is a dwindling resource. They also excel in rural areas where fire hydrants may be s</t>
        </is>
      </c>
    </row>
    <row r="110">
      <c r="A110" s="21" t="inlineStr">
        <is>
          <t>Molotov Cocktail</t>
        </is>
      </c>
      <c r="B110" s="21" t="inlineStr">
        <is>
          <t>Гранаты и взрывчатка</t>
        </is>
      </c>
      <c r="C110" s="21" t="inlineStr"/>
      <c r="D110" s="21" t="inlineStr"/>
      <c r="E110" s="21" t="inlineStr">
        <is>
          <t>1d10</t>
        </is>
      </c>
      <c r="F110" s="31" t="n"/>
      <c r="G110" s="31" t="n"/>
      <c r="H110" s="31" t="n"/>
      <c r="I110" s="31" t="n"/>
      <c r="J110" s="31" t="n">
        <v>0</v>
      </c>
      <c r="K110" s="31" t="n">
        <v>0</v>
      </c>
      <c r="L110" s="31" t="n">
        <v>0</v>
      </c>
      <c r="M110" s="31" t="n">
        <v>0</v>
      </c>
      <c r="N110" s="21" t="inlineStr"/>
      <c r="O110" s="21" t="inlineStr"/>
      <c r="P110" s="21" t="inlineStr"/>
      <c r="Q110" s="21" t="inlineStr"/>
      <c r="R110" s="40" t="n">
        <v>20</v>
      </c>
      <c r="S110" s="21" t="inlineStr">
        <is>
          <t>DL:BC+ 4 · DGD 145 · IR4 12</t>
        </is>
      </c>
      <c r="T110" s="21" t="inlineStr">
        <is>
          <t>DEX + Athletics + 1d10 vs Grenade Launcher DV Can’t be loaded into a Grenade Launcher. An Incendiary Grenade that deals 5d6 damage. While a character carries a Molotov Cocktail, if that unlucky choomba takes any damage t</t>
        </is>
      </c>
    </row>
    <row r="111">
      <c r="A111" s="21" t="inlineStr">
        <is>
          <t>Airburst Grenade</t>
        </is>
      </c>
      <c r="B111" s="21" t="inlineStr">
        <is>
          <t>Гранаты и взрывчатка</t>
        </is>
      </c>
      <c r="C111" s="21" t="inlineStr"/>
      <c r="D111" s="21" t="inlineStr"/>
      <c r="E111" s="21" t="inlineStr">
        <is>
          <t>1d10</t>
        </is>
      </c>
      <c r="F111" s="31" t="n"/>
      <c r="G111" s="31" t="n"/>
      <c r="H111" s="31" t="n"/>
      <c r="I111" s="31" t="n"/>
      <c r="J111" s="31" t="n">
        <v>0</v>
      </c>
      <c r="K111" s="31" t="n">
        <v>0</v>
      </c>
      <c r="L111" s="31" t="n">
        <v>0</v>
      </c>
      <c r="M111" s="31" t="n">
        <v>0</v>
      </c>
      <c r="N111" s="21" t="inlineStr"/>
      <c r="O111" s="21" t="inlineStr"/>
      <c r="P111" s="21" t="inlineStr"/>
      <c r="Q111" s="21" t="inlineStr"/>
      <c r="R111" s="40" t="n">
        <v>125</v>
      </c>
      <c r="S111" s="21" t="inlineStr">
        <is>
          <t>IR5 126</t>
        </is>
      </c>
      <c r="T111" s="21" t="inlineStr">
        <is>
          <t>DEX + Athletics + 1d10 vs Grenade Launcher DV "Sixteen coin-sized sensors in each unit of this gas-dispersal munition maximize the effective area of the payload to maximize tactical advantage. Each unit of this ammunitio</t>
        </is>
      </c>
    </row>
    <row r="112">
      <c r="A112" s="21" t="inlineStr">
        <is>
          <t>GunMart Door Cracker</t>
        </is>
      </c>
      <c r="B112" s="21" t="inlineStr">
        <is>
          <t>Гранаты и взрывчатка</t>
        </is>
      </c>
      <c r="C112" s="21" t="inlineStr"/>
      <c r="D112" s="21" t="inlineStr"/>
      <c r="E112" s="21" t="inlineStr">
        <is>
          <t>6d6</t>
        </is>
      </c>
      <c r="F112" s="31" t="n"/>
      <c r="G112" s="31" t="n"/>
      <c r="H112" s="31" t="n"/>
      <c r="I112" s="31" t="n"/>
      <c r="J112" s="31" t="n">
        <v>0</v>
      </c>
      <c r="K112" s="31" t="n">
        <v>0</v>
      </c>
      <c r="L112" s="31" t="n">
        <v>0</v>
      </c>
      <c r="M112" s="31" t="n">
        <v>0</v>
      </c>
      <c r="N112" s="21" t="inlineStr"/>
      <c r="O112" s="21" t="inlineStr"/>
      <c r="P112" s="21" t="inlineStr"/>
      <c r="Q112" s="21" t="inlineStr"/>
      <c r="R112" s="40" t="n">
        <v>50</v>
      </c>
      <c r="S112" s="21" t="inlineStr">
        <is>
          <t>BC 87</t>
        </is>
      </c>
      <c r="T112" s="21" t="inlineStr">
        <is>
          <t>The GunMart Door Cracker is a cheap explosive device made for hard entry. The bomb itself is 1 inch (2.54 cm) in diameter and 1 inch (2.54 cm) thick. The base is magnetic with sticky tape around its edges in case the doo</t>
        </is>
      </c>
    </row>
    <row r="113">
      <c r="A113" s="21" t="inlineStr">
        <is>
          <t>KillChip 100 Micro-Bomb</t>
        </is>
      </c>
      <c r="B113" s="21" t="inlineStr">
        <is>
          <t>Гранаты и взрывчатка</t>
        </is>
      </c>
      <c r="C113" s="21" t="inlineStr"/>
      <c r="D113" s="21" t="inlineStr"/>
      <c r="E113" s="21" t="inlineStr">
        <is>
          <t>6d6</t>
        </is>
      </c>
      <c r="F113" s="31" t="n"/>
      <c r="G113" s="31" t="n"/>
      <c r="H113" s="31" t="n"/>
      <c r="I113" s="31" t="n"/>
      <c r="J113" s="31" t="n">
        <v>0</v>
      </c>
      <c r="K113" s="31" t="n">
        <v>0</v>
      </c>
      <c r="L113" s="31" t="n">
        <v>0</v>
      </c>
      <c r="M113" s="31" t="n">
        <v>0</v>
      </c>
      <c r="N113" s="21" t="inlineStr"/>
      <c r="O113" s="21" t="inlineStr"/>
      <c r="P113" s="21" t="inlineStr"/>
      <c r="Q113" s="21" t="inlineStr"/>
      <c r="R113" s="40" t="n">
        <v>100</v>
      </c>
      <c r="S113" s="21" t="inlineStr">
        <is>
          <t>BC 88</t>
        </is>
      </c>
      <c r="T113" s="21" t="inlineStr">
        <is>
          <t>The origin of the KillChip 100 has been a mystery since the first one exploded a head during the 4th Corporate War. The KillChip looks just like a standard memory chip, and reads like it too when plugged into an Agent. W</t>
        </is>
      </c>
    </row>
    <row r="114">
      <c r="A114" s="21" t="inlineStr">
        <is>
          <t>Micro Hydrogen Combuster</t>
        </is>
      </c>
      <c r="B114" s="21" t="inlineStr">
        <is>
          <t>Гранаты и взрывчатка</t>
        </is>
      </c>
      <c r="C114" s="21" t="inlineStr"/>
      <c r="D114" s="21" t="inlineStr"/>
      <c r="E114" s="21" t="inlineStr"/>
      <c r="F114" s="31" t="n"/>
      <c r="G114" s="31" t="n"/>
      <c r="H114" s="31" t="n"/>
      <c r="I114" s="31" t="n"/>
      <c r="J114" s="31" t="n">
        <v>0</v>
      </c>
      <c r="K114" s="31" t="n">
        <v>0</v>
      </c>
      <c r="L114" s="31" t="n">
        <v>0</v>
      </c>
      <c r="M114" s="31" t="n">
        <v>0</v>
      </c>
      <c r="N114" s="21" t="inlineStr"/>
      <c r="O114" s="21" t="inlineStr"/>
      <c r="P114" s="21" t="inlineStr"/>
      <c r="Q114" s="21" t="inlineStr"/>
      <c r="R114" s="40" t="n">
        <v>500</v>
      </c>
      <c r="S114" s="21" t="inlineStr">
        <is>
          <t>BC 88</t>
        </is>
      </c>
      <c r="T114" s="21" t="inlineStr">
        <is>
          <t>The Hydrosubsidium Micro Hydrogen Combustor is a small explosive device designed for deployment in full bottles. All units are rigged with a thirty-second timer that begins the countdown once the device is submerged enti</t>
        </is>
      </c>
    </row>
    <row r="115">
      <c r="A115" s="21" t="inlineStr">
        <is>
          <t>OUTLet Explosive</t>
        </is>
      </c>
      <c r="B115" s="21" t="inlineStr">
        <is>
          <t>Гранаты и взрывчатка</t>
        </is>
      </c>
      <c r="C115" s="21" t="inlineStr"/>
      <c r="D115" s="21" t="inlineStr"/>
      <c r="E115" s="21" t="inlineStr"/>
      <c r="F115" s="31" t="n"/>
      <c r="G115" s="31" t="n"/>
      <c r="H115" s="31" t="n"/>
      <c r="I115" s="31" t="n"/>
      <c r="J115" s="31" t="n">
        <v>0</v>
      </c>
      <c r="K115" s="31" t="n">
        <v>0</v>
      </c>
      <c r="L115" s="31" t="n">
        <v>0</v>
      </c>
      <c r="M115" s="31" t="n">
        <v>0</v>
      </c>
      <c r="N115" s="21" t="inlineStr"/>
      <c r="O115" s="21" t="inlineStr"/>
      <c r="P115" s="21" t="inlineStr"/>
      <c r="Q115" s="21" t="inlineStr"/>
      <c r="R115" s="40" t="n">
        <v>100</v>
      </c>
      <c r="S115" s="21" t="inlineStr">
        <is>
          <t>BC 89</t>
        </is>
      </c>
      <c r="T115" s="21" t="inlineStr">
        <is>
          <t>An OUTLet Explosive looks just like a standard outlet adapter, but it’s actually a small yet powerful micro-explosive. When plugged into a wall socket the OUTLet can be set to detonate via a remote trigger. The explosive</t>
        </is>
      </c>
    </row>
    <row r="116">
      <c r="A116" s="21" t="inlineStr">
        <is>
          <t>TR-4 Detonator Fluid</t>
        </is>
      </c>
      <c r="B116" s="21" t="inlineStr">
        <is>
          <t>Гранаты и взрывчатка</t>
        </is>
      </c>
      <c r="C116" s="21" t="inlineStr"/>
      <c r="D116" s="21" t="inlineStr"/>
      <c r="E116" s="21" t="inlineStr"/>
      <c r="F116" s="31" t="n"/>
      <c r="G116" s="31" t="n"/>
      <c r="H116" s="31" t="n"/>
      <c r="I116" s="31" t="n"/>
      <c r="J116" s="31" t="n">
        <v>0</v>
      </c>
      <c r="K116" s="31" t="n">
        <v>0</v>
      </c>
      <c r="L116" s="31" t="n">
        <v>0</v>
      </c>
      <c r="M116" s="31" t="n">
        <v>0</v>
      </c>
      <c r="N116" s="21" t="inlineStr"/>
      <c r="O116" s="21" t="inlineStr"/>
      <c r="P116" s="21" t="inlineStr"/>
      <c r="Q116" s="21" t="inlineStr"/>
      <c r="R116" s="40" t="n">
        <v>500</v>
      </c>
      <c r="S116" s="21" t="inlineStr">
        <is>
          <t>BC 90</t>
        </is>
      </c>
      <c r="T116" s="21" t="inlineStr">
        <is>
          <t>TR-4 Detonator Fluid is a reactionary liquid capable of transforming ordinary CHOOH2 into a super explosive devastating to vehicles. To use TR-4, all one must do is pour the fluid into a fuel tank, where it mixes with th</t>
        </is>
      </c>
    </row>
    <row r="117">
      <c r="A117" s="21" t="inlineStr">
        <is>
          <t>C9 Charge</t>
        </is>
      </c>
      <c r="B117" s="21" t="inlineStr">
        <is>
          <t>Гранаты и взрывчатка</t>
        </is>
      </c>
      <c r="C117" s="21" t="inlineStr"/>
      <c r="D117" s="21" t="inlineStr"/>
      <c r="E117" s="21" t="inlineStr">
        <is>
          <t>8d6</t>
        </is>
      </c>
      <c r="F117" s="31" t="n"/>
      <c r="G117" s="31" t="n"/>
      <c r="H117" s="31" t="n"/>
      <c r="I117" s="31" t="n"/>
      <c r="J117" s="31" t="n">
        <v>0</v>
      </c>
      <c r="K117" s="31" t="n">
        <v>0</v>
      </c>
      <c r="L117" s="31" t="n">
        <v>0</v>
      </c>
      <c r="M117" s="31" t="n">
        <v>0</v>
      </c>
      <c r="N117" s="21" t="inlineStr"/>
      <c r="O117" s="21" t="inlineStr"/>
      <c r="P117" s="21" t="inlineStr"/>
      <c r="Q117" s="21" t="inlineStr"/>
      <c r="R117" s="40" t="n">
        <v>250</v>
      </c>
      <c r="S117" s="21" t="inlineStr">
        <is>
          <t>IR5 121</t>
        </is>
      </c>
      <c r="T117" s="21" t="inlineStr">
        <is>
          <t>Plastic explosive, handmade, and guaranteed to explode. This is an Explosive. A C9 Charge can be planted as an Action on any surface. Upon planting C9, the user attempts a DV17 Demolitions Skill Check. If they succeed, t</t>
        </is>
      </c>
    </row>
    <row r="118">
      <c r="A118" s="21" t="inlineStr">
        <is>
          <t>C9 Kill Switch</t>
        </is>
      </c>
      <c r="B118" s="21" t="inlineStr">
        <is>
          <t>Гранаты и взрывчатка</t>
        </is>
      </c>
      <c r="C118" s="21" t="inlineStr"/>
      <c r="D118" s="21" t="inlineStr"/>
      <c r="E118" s="21" t="inlineStr"/>
      <c r="F118" s="31" t="n"/>
      <c r="G118" s="31" t="n"/>
      <c r="H118" s="31" t="n"/>
      <c r="I118" s="31" t="n"/>
      <c r="J118" s="31" t="n">
        <v>0</v>
      </c>
      <c r="K118" s="31" t="n">
        <v>0</v>
      </c>
      <c r="L118" s="31" t="n">
        <v>0</v>
      </c>
      <c r="M118" s="31" t="n">
        <v>0</v>
      </c>
      <c r="N118" s="21" t="inlineStr"/>
      <c r="O118" s="21" t="inlineStr"/>
      <c r="P118" s="21" t="inlineStr"/>
      <c r="Q118" s="21" t="inlineStr"/>
      <c r="R118" s="40" t="n">
        <v>100</v>
      </c>
      <c r="S118" s="21" t="inlineStr">
        <is>
          <t>IR5 122</t>
        </is>
      </c>
      <c r="T118" s="21" t="inlineStr">
        <is>
          <t>When preventing equipment from falling into enemy hands, C9 is the only way to be sure. A C9 Kill Switch can be installed as part of a C9 Charge being planted by a user with authorized access on a Vehicle with a Security</t>
        </is>
      </c>
    </row>
    <row r="119">
      <c r="A119" s="21" t="inlineStr">
        <is>
          <t>Mini C9 Charge</t>
        </is>
      </c>
      <c r="B119" s="21" t="inlineStr">
        <is>
          <t>Гранаты и взрывчатка</t>
        </is>
      </c>
      <c r="C119" s="21" t="inlineStr"/>
      <c r="D119" s="21" t="inlineStr"/>
      <c r="E119" s="21" t="inlineStr">
        <is>
          <t>6d6</t>
        </is>
      </c>
      <c r="F119" s="31" t="n"/>
      <c r="G119" s="31" t="n"/>
      <c r="H119" s="31" t="n"/>
      <c r="I119" s="31" t="n"/>
      <c r="J119" s="31" t="n">
        <v>0</v>
      </c>
      <c r="K119" s="31" t="n">
        <v>0</v>
      </c>
      <c r="L119" s="31" t="n">
        <v>0</v>
      </c>
      <c r="M119" s="31" t="n">
        <v>0</v>
      </c>
      <c r="N119" s="21" t="inlineStr"/>
      <c r="O119" s="21" t="inlineStr"/>
      <c r="P119" s="21" t="inlineStr"/>
      <c r="Q119" s="21" t="inlineStr"/>
      <c r="R119" s="40" t="n">
        <v>60</v>
      </c>
      <c r="S119" s="21" t="inlineStr">
        <is>
          <t>IR5 122</t>
        </is>
      </c>
      <c r="T119" s="21" t="inlineStr">
        <is>
          <t>A tightly packed plastic explosive charge, smaller, for jobs that require less explosive. This is an Explosive. A Mini C9 Charge can be planted as an Action on any surface. Upon planting C9, the user attempts a DV17 Demo</t>
        </is>
      </c>
    </row>
    <row r="120">
      <c r="A120" s="21" t="inlineStr">
        <is>
          <t>Asia Pop Bottoms</t>
        </is>
      </c>
      <c r="B120" s="21" t="inlineStr">
        <is>
          <t>Мода</t>
        </is>
      </c>
      <c r="C120" s="21" t="inlineStr"/>
      <c r="D120" s="21" t="inlineStr"/>
      <c r="E120" s="21" t="inlineStr"/>
      <c r="F120" s="31" t="n"/>
      <c r="G120" s="31" t="n"/>
      <c r="H120" s="31" t="n"/>
      <c r="I120" s="31" t="n"/>
      <c r="J120" s="31" t="n">
        <v>0</v>
      </c>
      <c r="K120" s="31" t="n">
        <v>0</v>
      </c>
      <c r="L120" s="31" t="n">
        <v>0</v>
      </c>
      <c r="M120" s="31" t="n">
        <v>0</v>
      </c>
      <c r="N120" s="21" t="inlineStr"/>
      <c r="O120" s="21" t="inlineStr"/>
      <c r="P120" s="21" t="inlineStr"/>
      <c r="Q120" s="21" t="inlineStr"/>
      <c r="R120" s="40" t="n">
        <v>100</v>
      </c>
      <c r="S120" s="21" t="inlineStr">
        <is>
          <t>CP:R 356</t>
        </is>
      </c>
      <c r="T120" s="21" t="inlineStr">
        <is>
          <t>Bright. Costume-like. Youthful.</t>
        </is>
      </c>
    </row>
    <row r="121">
      <c r="A121" s="21" t="inlineStr">
        <is>
          <t>Asia Pop Top</t>
        </is>
      </c>
      <c r="B121" s="21" t="inlineStr">
        <is>
          <t>Мода</t>
        </is>
      </c>
      <c r="C121" s="21" t="inlineStr"/>
      <c r="D121" s="21" t="inlineStr"/>
      <c r="E121" s="21" t="inlineStr"/>
      <c r="F121" s="31" t="n"/>
      <c r="G121" s="31" t="n"/>
      <c r="H121" s="31" t="n"/>
      <c r="I121" s="31" t="n"/>
      <c r="J121" s="31" t="n">
        <v>0</v>
      </c>
      <c r="K121" s="31" t="n">
        <v>0</v>
      </c>
      <c r="L121" s="31" t="n">
        <v>0</v>
      </c>
      <c r="M121" s="31" t="n">
        <v>0</v>
      </c>
      <c r="N121" s="21" t="inlineStr"/>
      <c r="O121" s="21" t="inlineStr"/>
      <c r="P121" s="21" t="inlineStr"/>
      <c r="Q121" s="21" t="inlineStr"/>
      <c r="R121" s="40" t="n">
        <v>20</v>
      </c>
      <c r="S121" s="21" t="inlineStr">
        <is>
          <t>CP:R 356</t>
        </is>
      </c>
      <c r="T121" s="21" t="inlineStr">
        <is>
          <t>Bright. Costume-like. Youthful.</t>
        </is>
      </c>
    </row>
    <row r="122">
      <c r="A122" s="21" t="inlineStr">
        <is>
          <t>Asia Pop Jacket</t>
        </is>
      </c>
      <c r="B122" s="21" t="inlineStr">
        <is>
          <t>Мода</t>
        </is>
      </c>
      <c r="C122" s="21" t="inlineStr"/>
      <c r="D122" s="21" t="inlineStr"/>
      <c r="E122" s="21" t="inlineStr"/>
      <c r="F122" s="31" t="n"/>
      <c r="G122" s="31" t="n"/>
      <c r="H122" s="31" t="n"/>
      <c r="I122" s="31" t="n"/>
      <c r="J122" s="31" t="n">
        <v>0</v>
      </c>
      <c r="K122" s="31" t="n">
        <v>0</v>
      </c>
      <c r="L122" s="31" t="n">
        <v>0</v>
      </c>
      <c r="M122" s="31" t="n">
        <v>0</v>
      </c>
      <c r="N122" s="21" t="inlineStr"/>
      <c r="O122" s="21" t="inlineStr"/>
      <c r="P122" s="21" t="inlineStr"/>
      <c r="Q122" s="21" t="inlineStr"/>
      <c r="R122" s="40" t="n">
        <v>100</v>
      </c>
      <c r="S122" s="21" t="inlineStr">
        <is>
          <t>CP:R 356</t>
        </is>
      </c>
      <c r="T122" s="21" t="inlineStr">
        <is>
          <t>Bright. Costume-like. Youthful.</t>
        </is>
      </c>
    </row>
    <row r="123">
      <c r="A123" s="21" t="inlineStr">
        <is>
          <t>Asia Pop Footwear</t>
        </is>
      </c>
      <c r="B123" s="21" t="inlineStr">
        <is>
          <t>Мода</t>
        </is>
      </c>
      <c r="C123" s="21" t="inlineStr"/>
      <c r="D123" s="21" t="inlineStr"/>
      <c r="E123" s="21" t="inlineStr"/>
      <c r="F123" s="31" t="n"/>
      <c r="G123" s="31" t="n"/>
      <c r="H123" s="31" t="n"/>
      <c r="I123" s="31" t="n"/>
      <c r="J123" s="31" t="n">
        <v>0</v>
      </c>
      <c r="K123" s="31" t="n">
        <v>0</v>
      </c>
      <c r="L123" s="31" t="n">
        <v>0</v>
      </c>
      <c r="M123" s="31" t="n">
        <v>0</v>
      </c>
      <c r="N123" s="21" t="inlineStr"/>
      <c r="O123" s="21" t="inlineStr"/>
      <c r="P123" s="21" t="inlineStr"/>
      <c r="Q123" s="21" t="inlineStr"/>
      <c r="R123" s="40" t="n">
        <v>100</v>
      </c>
      <c r="S123" s="21" t="inlineStr">
        <is>
          <t>CP:R 356</t>
        </is>
      </c>
      <c r="T123" s="21" t="inlineStr">
        <is>
          <t>Bright. Costume-like. Youthful.</t>
        </is>
      </c>
    </row>
    <row r="124">
      <c r="A124" s="21" t="inlineStr">
        <is>
          <t>Asia Pop Jewelry</t>
        </is>
      </c>
      <c r="B124" s="21" t="inlineStr">
        <is>
          <t>Мода</t>
        </is>
      </c>
      <c r="C124" s="21" t="inlineStr"/>
      <c r="D124" s="21" t="inlineStr"/>
      <c r="E124" s="21" t="inlineStr"/>
      <c r="F124" s="31" t="n"/>
      <c r="G124" s="31" t="n"/>
      <c r="H124" s="31" t="n"/>
      <c r="I124" s="31" t="n"/>
      <c r="J124" s="31" t="n">
        <v>0</v>
      </c>
      <c r="K124" s="31" t="n">
        <v>0</v>
      </c>
      <c r="L124" s="31" t="n">
        <v>0</v>
      </c>
      <c r="M124" s="31" t="n">
        <v>0</v>
      </c>
      <c r="N124" s="21" t="inlineStr"/>
      <c r="O124" s="21" t="inlineStr"/>
      <c r="P124" s="21" t="inlineStr"/>
      <c r="Q124" s="21" t="inlineStr"/>
      <c r="R124" s="40" t="n">
        <v>100</v>
      </c>
      <c r="S124" s="21" t="inlineStr">
        <is>
          <t>CP:R 356</t>
        </is>
      </c>
      <c r="T124" s="21" t="inlineStr">
        <is>
          <t>Bright. Costume-like. Youthful.</t>
        </is>
      </c>
    </row>
    <row r="125">
      <c r="A125" s="21" t="inlineStr">
        <is>
          <t>Asia Pop Mirrorshades</t>
        </is>
      </c>
      <c r="B125" s="21" t="inlineStr">
        <is>
          <t>Мода</t>
        </is>
      </c>
      <c r="C125" s="21" t="inlineStr"/>
      <c r="D125" s="21" t="inlineStr"/>
      <c r="E125" s="21" t="inlineStr"/>
      <c r="F125" s="31" t="n"/>
      <c r="G125" s="31" t="n"/>
      <c r="H125" s="31" t="n"/>
      <c r="I125" s="31" t="n"/>
      <c r="J125" s="31" t="n">
        <v>0</v>
      </c>
      <c r="K125" s="31" t="n">
        <v>0</v>
      </c>
      <c r="L125" s="31" t="n">
        <v>0</v>
      </c>
      <c r="M125" s="31" t="n">
        <v>0</v>
      </c>
      <c r="N125" s="21" t="inlineStr"/>
      <c r="O125" s="21" t="inlineStr"/>
      <c r="P125" s="21" t="inlineStr"/>
      <c r="Q125" s="21" t="inlineStr"/>
      <c r="R125" s="40" t="n">
        <v>100</v>
      </c>
      <c r="S125" s="21" t="inlineStr">
        <is>
          <t>CP:R 356</t>
        </is>
      </c>
      <c r="T125" s="21" t="inlineStr">
        <is>
          <t>Bright. Costume-like. Youthful.</t>
        </is>
      </c>
    </row>
    <row r="126">
      <c r="A126" s="21" t="inlineStr">
        <is>
          <t>Asia Pop Glasses</t>
        </is>
      </c>
      <c r="B126" s="21" t="inlineStr">
        <is>
          <t>Мода</t>
        </is>
      </c>
      <c r="C126" s="21" t="inlineStr"/>
      <c r="D126" s="21" t="inlineStr"/>
      <c r="E126" s="21" t="inlineStr"/>
      <c r="F126" s="31" t="n"/>
      <c r="G126" s="31" t="n"/>
      <c r="H126" s="31" t="n"/>
      <c r="I126" s="31" t="n"/>
      <c r="J126" s="31" t="n">
        <v>0</v>
      </c>
      <c r="K126" s="31" t="n">
        <v>0</v>
      </c>
      <c r="L126" s="31" t="n">
        <v>0</v>
      </c>
      <c r="M126" s="31" t="n">
        <v>0</v>
      </c>
      <c r="N126" s="21" t="inlineStr"/>
      <c r="O126" s="21" t="inlineStr"/>
      <c r="P126" s="21" t="inlineStr"/>
      <c r="Q126" s="21" t="inlineStr"/>
      <c r="R126" s="40" t="n">
        <v>100</v>
      </c>
      <c r="S126" s="21" t="inlineStr">
        <is>
          <t>CP:R 356</t>
        </is>
      </c>
      <c r="T126" s="21" t="inlineStr">
        <is>
          <t>Bright. Costume-like. Youthful.</t>
        </is>
      </c>
    </row>
    <row r="127">
      <c r="A127" s="21" t="inlineStr">
        <is>
          <t>Asia Pop Contact Lenses</t>
        </is>
      </c>
      <c r="B127" s="21" t="inlineStr">
        <is>
          <t>Мода</t>
        </is>
      </c>
      <c r="C127" s="21" t="inlineStr"/>
      <c r="D127" s="21" t="inlineStr"/>
      <c r="E127" s="21" t="inlineStr"/>
      <c r="F127" s="31" t="n"/>
      <c r="G127" s="31" t="n"/>
      <c r="H127" s="31" t="n"/>
      <c r="I127" s="31" t="n"/>
      <c r="J127" s="31" t="n">
        <v>0</v>
      </c>
      <c r="K127" s="31" t="n">
        <v>0</v>
      </c>
      <c r="L127" s="31" t="n">
        <v>0</v>
      </c>
      <c r="M127" s="31" t="n">
        <v>0</v>
      </c>
      <c r="N127" s="21" t="inlineStr"/>
      <c r="O127" s="21" t="inlineStr"/>
      <c r="P127" s="21" t="inlineStr"/>
      <c r="Q127" s="21" t="inlineStr"/>
      <c r="R127" s="40" t="n">
        <v>100</v>
      </c>
      <c r="S127" s="21" t="inlineStr">
        <is>
          <t>CP:R 356</t>
        </is>
      </c>
      <c r="T127" s="21" t="inlineStr">
        <is>
          <t>Bright. Costume-like. Youthful.</t>
        </is>
      </c>
    </row>
    <row r="128">
      <c r="A128" s="21" t="inlineStr">
        <is>
          <t>Asia Pop Hats</t>
        </is>
      </c>
      <c r="B128" s="21" t="inlineStr">
        <is>
          <t>Мода</t>
        </is>
      </c>
      <c r="C128" s="21" t="inlineStr"/>
      <c r="D128" s="21" t="inlineStr"/>
      <c r="E128" s="21" t="inlineStr"/>
      <c r="F128" s="31" t="n"/>
      <c r="G128" s="31" t="n"/>
      <c r="H128" s="31" t="n"/>
      <c r="I128" s="31" t="n"/>
      <c r="J128" s="31" t="n">
        <v>0</v>
      </c>
      <c r="K128" s="31" t="n">
        <v>0</v>
      </c>
      <c r="L128" s="31" t="n">
        <v>0</v>
      </c>
      <c r="M128" s="31" t="n">
        <v>0</v>
      </c>
      <c r="N128" s="21" t="inlineStr"/>
      <c r="O128" s="21" t="inlineStr"/>
      <c r="P128" s="21" t="inlineStr"/>
      <c r="Q128" s="21" t="inlineStr"/>
      <c r="R128" s="40" t="n">
        <v>100</v>
      </c>
      <c r="S128" s="21" t="inlineStr">
        <is>
          <t>CP:R 356</t>
        </is>
      </c>
      <c r="T128" s="21" t="inlineStr">
        <is>
          <t>Bright. Costume-like. Youthful.</t>
        </is>
      </c>
    </row>
    <row r="129">
      <c r="A129" s="21" t="inlineStr">
        <is>
          <t>Bag Lady Chic Bottoms</t>
        </is>
      </c>
      <c r="B129" s="21" t="inlineStr">
        <is>
          <t>Мода</t>
        </is>
      </c>
      <c r="C129" s="21" t="inlineStr"/>
      <c r="D129" s="21" t="inlineStr"/>
      <c r="E129" s="21" t="inlineStr"/>
      <c r="F129" s="31" t="n"/>
      <c r="G129" s="31" t="n"/>
      <c r="H129" s="31" t="n"/>
      <c r="I129" s="31" t="n"/>
      <c r="J129" s="31" t="n">
        <v>0</v>
      </c>
      <c r="K129" s="31" t="n">
        <v>0</v>
      </c>
      <c r="L129" s="31" t="n">
        <v>0</v>
      </c>
      <c r="M129" s="31" t="n">
        <v>0</v>
      </c>
      <c r="N129" s="21" t="inlineStr"/>
      <c r="O129" s="21" t="inlineStr"/>
      <c r="P129" s="21" t="inlineStr"/>
      <c r="Q129" s="21" t="inlineStr"/>
      <c r="R129" s="40" t="n">
        <v>20</v>
      </c>
      <c r="S129" s="21" t="inlineStr">
        <is>
          <t>CP:R 356</t>
        </is>
      </c>
      <c r="T129" s="21" t="inlineStr">
        <is>
          <t>Homeless. Ragged. Vagrant.</t>
        </is>
      </c>
    </row>
    <row r="130">
      <c r="A130" s="21" t="inlineStr">
        <is>
          <t>Bag Lady Chic Top</t>
        </is>
      </c>
      <c r="B130" s="21" t="inlineStr">
        <is>
          <t>Мода</t>
        </is>
      </c>
      <c r="C130" s="21" t="inlineStr"/>
      <c r="D130" s="21" t="inlineStr"/>
      <c r="E130" s="21" t="inlineStr"/>
      <c r="F130" s="31" t="n"/>
      <c r="G130" s="31" t="n"/>
      <c r="H130" s="31" t="n"/>
      <c r="I130" s="31" t="n"/>
      <c r="J130" s="31" t="n">
        <v>0</v>
      </c>
      <c r="K130" s="31" t="n">
        <v>0</v>
      </c>
      <c r="L130" s="31" t="n">
        <v>0</v>
      </c>
      <c r="M130" s="31" t="n">
        <v>0</v>
      </c>
      <c r="N130" s="21" t="inlineStr"/>
      <c r="O130" s="21" t="inlineStr"/>
      <c r="P130" s="21" t="inlineStr"/>
      <c r="Q130" s="21" t="inlineStr"/>
      <c r="R130" s="40" t="n">
        <v>10</v>
      </c>
      <c r="S130" s="21" t="inlineStr">
        <is>
          <t>CP:R 356</t>
        </is>
      </c>
      <c r="T130" s="21" t="inlineStr">
        <is>
          <t>Homeless. Ragged. Vagrant.</t>
        </is>
      </c>
    </row>
    <row r="131">
      <c r="A131" s="21" t="inlineStr">
        <is>
          <t>Bag Lady Chic Jacket</t>
        </is>
      </c>
      <c r="B131" s="21" t="inlineStr">
        <is>
          <t>Мода</t>
        </is>
      </c>
      <c r="C131" s="21" t="inlineStr"/>
      <c r="D131" s="21" t="inlineStr"/>
      <c r="E131" s="21" t="inlineStr"/>
      <c r="F131" s="31" t="n"/>
      <c r="G131" s="31" t="n"/>
      <c r="H131" s="31" t="n"/>
      <c r="I131" s="31" t="n"/>
      <c r="J131" s="31" t="n">
        <v>0</v>
      </c>
      <c r="K131" s="31" t="n">
        <v>0</v>
      </c>
      <c r="L131" s="31" t="n">
        <v>0</v>
      </c>
      <c r="M131" s="31" t="n">
        <v>0</v>
      </c>
      <c r="N131" s="21" t="inlineStr"/>
      <c r="O131" s="21" t="inlineStr"/>
      <c r="P131" s="21" t="inlineStr"/>
      <c r="Q131" s="21" t="inlineStr"/>
      <c r="R131" s="40" t="n">
        <v>20</v>
      </c>
      <c r="S131" s="21" t="inlineStr">
        <is>
          <t>CP:R 356</t>
        </is>
      </c>
      <c r="T131" s="21" t="inlineStr">
        <is>
          <t>Homeless. Ragged. Vagrant.</t>
        </is>
      </c>
    </row>
    <row r="132">
      <c r="A132" s="21" t="inlineStr">
        <is>
          <t>Bag Lady Chic Footwear</t>
        </is>
      </c>
      <c r="B132" s="21" t="inlineStr">
        <is>
          <t>Мода</t>
        </is>
      </c>
      <c r="C132" s="21" t="inlineStr"/>
      <c r="D132" s="21" t="inlineStr"/>
      <c r="E132" s="21" t="inlineStr"/>
      <c r="F132" s="31" t="n"/>
      <c r="G132" s="31" t="n"/>
      <c r="H132" s="31" t="n"/>
      <c r="I132" s="31" t="n"/>
      <c r="J132" s="31" t="n">
        <v>0</v>
      </c>
      <c r="K132" s="31" t="n">
        <v>0</v>
      </c>
      <c r="L132" s="31" t="n">
        <v>0</v>
      </c>
      <c r="M132" s="31" t="n">
        <v>0</v>
      </c>
      <c r="N132" s="21" t="inlineStr"/>
      <c r="O132" s="21" t="inlineStr"/>
      <c r="P132" s="21" t="inlineStr"/>
      <c r="Q132" s="21" t="inlineStr"/>
      <c r="R132" s="40" t="n">
        <v>20</v>
      </c>
      <c r="S132" s="21" t="inlineStr">
        <is>
          <t>CP:R 356</t>
        </is>
      </c>
      <c r="T132" s="21" t="inlineStr">
        <is>
          <t>Homeless. Ragged. Vagrant.</t>
        </is>
      </c>
    </row>
    <row r="133">
      <c r="A133" s="21" t="inlineStr">
        <is>
          <t>Bag Lady Chic Jewelry</t>
        </is>
      </c>
      <c r="B133" s="21" t="inlineStr">
        <is>
          <t>Мода</t>
        </is>
      </c>
      <c r="C133" s="21" t="inlineStr"/>
      <c r="D133" s="21" t="inlineStr"/>
      <c r="E133" s="21" t="inlineStr"/>
      <c r="F133" s="31" t="n"/>
      <c r="G133" s="31" t="n"/>
      <c r="H133" s="31" t="n"/>
      <c r="I133" s="31" t="n"/>
      <c r="J133" s="31" t="n">
        <v>0</v>
      </c>
      <c r="K133" s="31" t="n">
        <v>0</v>
      </c>
      <c r="L133" s="31" t="n">
        <v>0</v>
      </c>
      <c r="M133" s="31" t="n">
        <v>0</v>
      </c>
      <c r="N133" s="21" t="inlineStr"/>
      <c r="O133" s="21" t="inlineStr"/>
      <c r="P133" s="21" t="inlineStr"/>
      <c r="Q133" s="21" t="inlineStr"/>
      <c r="R133" s="40" t="n">
        <v>20</v>
      </c>
      <c r="S133" s="21" t="inlineStr">
        <is>
          <t>CP:R 356</t>
        </is>
      </c>
      <c r="T133" s="21" t="inlineStr">
        <is>
          <t>Homeless. Ragged. Vagrant.</t>
        </is>
      </c>
    </row>
    <row r="134">
      <c r="A134" s="21" t="inlineStr">
        <is>
          <t>Bag Lady Chic Mirrorshades</t>
        </is>
      </c>
      <c r="B134" s="21" t="inlineStr">
        <is>
          <t>Мода</t>
        </is>
      </c>
      <c r="C134" s="21" t="inlineStr"/>
      <c r="D134" s="21" t="inlineStr"/>
      <c r="E134" s="21" t="inlineStr"/>
      <c r="F134" s="31" t="n"/>
      <c r="G134" s="31" t="n"/>
      <c r="H134" s="31" t="n"/>
      <c r="I134" s="31" t="n"/>
      <c r="J134" s="31" t="n">
        <v>0</v>
      </c>
      <c r="K134" s="31" t="n">
        <v>0</v>
      </c>
      <c r="L134" s="31" t="n">
        <v>0</v>
      </c>
      <c r="M134" s="31" t="n">
        <v>0</v>
      </c>
      <c r="N134" s="21" t="inlineStr"/>
      <c r="O134" s="21" t="inlineStr"/>
      <c r="P134" s="21" t="inlineStr"/>
      <c r="Q134" s="21" t="inlineStr"/>
      <c r="R134" s="40" t="n">
        <v>20</v>
      </c>
      <c r="S134" s="21" t="inlineStr">
        <is>
          <t>CP:R 356</t>
        </is>
      </c>
      <c r="T134" s="21" t="inlineStr">
        <is>
          <t>Homeless. Ragged. Vagrant.</t>
        </is>
      </c>
    </row>
    <row r="135">
      <c r="A135" s="21" t="inlineStr">
        <is>
          <t>Bag Lady Chic Glasses</t>
        </is>
      </c>
      <c r="B135" s="21" t="inlineStr">
        <is>
          <t>Мода</t>
        </is>
      </c>
      <c r="C135" s="21" t="inlineStr"/>
      <c r="D135" s="21" t="inlineStr"/>
      <c r="E135" s="21" t="inlineStr"/>
      <c r="F135" s="31" t="n"/>
      <c r="G135" s="31" t="n"/>
      <c r="H135" s="31" t="n"/>
      <c r="I135" s="31" t="n"/>
      <c r="J135" s="31" t="n">
        <v>0</v>
      </c>
      <c r="K135" s="31" t="n">
        <v>0</v>
      </c>
      <c r="L135" s="31" t="n">
        <v>0</v>
      </c>
      <c r="M135" s="31" t="n">
        <v>0</v>
      </c>
      <c r="N135" s="21" t="inlineStr"/>
      <c r="O135" s="21" t="inlineStr"/>
      <c r="P135" s="21" t="inlineStr"/>
      <c r="Q135" s="21" t="inlineStr"/>
      <c r="R135" s="40" t="n">
        <v>10</v>
      </c>
      <c r="S135" s="21" t="inlineStr">
        <is>
          <t>CP:R 356</t>
        </is>
      </c>
      <c r="T135" s="21" t="inlineStr">
        <is>
          <t>Homeless. Ragged. Vagrant.</t>
        </is>
      </c>
    </row>
    <row r="136">
      <c r="A136" s="21" t="inlineStr">
        <is>
          <t>Bag Lady Chic Contact Lenses</t>
        </is>
      </c>
      <c r="B136" s="21" t="inlineStr">
        <is>
          <t>Мода</t>
        </is>
      </c>
      <c r="C136" s="21" t="inlineStr"/>
      <c r="D136" s="21" t="inlineStr"/>
      <c r="E136" s="21" t="inlineStr"/>
      <c r="F136" s="31" t="n"/>
      <c r="G136" s="31" t="n"/>
      <c r="H136" s="31" t="n"/>
      <c r="I136" s="31" t="n"/>
      <c r="J136" s="31" t="n">
        <v>0</v>
      </c>
      <c r="K136" s="31" t="n">
        <v>0</v>
      </c>
      <c r="L136" s="31" t="n">
        <v>0</v>
      </c>
      <c r="M136" s="31" t="n">
        <v>0</v>
      </c>
      <c r="N136" s="21" t="inlineStr"/>
      <c r="O136" s="21" t="inlineStr"/>
      <c r="P136" s="21" t="inlineStr"/>
      <c r="Q136" s="21" t="inlineStr"/>
      <c r="R136" s="40" t="n">
        <v>10</v>
      </c>
      <c r="S136" s="21" t="inlineStr">
        <is>
          <t>CP:R 356</t>
        </is>
      </c>
      <c r="T136" s="21" t="inlineStr">
        <is>
          <t>Homeless. Ragged. Vagrant.</t>
        </is>
      </c>
    </row>
    <row r="137">
      <c r="A137" s="21" t="inlineStr">
        <is>
          <t>Bag Lady Chic Hats</t>
        </is>
      </c>
      <c r="B137" s="21" t="inlineStr">
        <is>
          <t>Мода</t>
        </is>
      </c>
      <c r="C137" s="21" t="inlineStr"/>
      <c r="D137" s="21" t="inlineStr"/>
      <c r="E137" s="21" t="inlineStr"/>
      <c r="F137" s="31" t="n"/>
      <c r="G137" s="31" t="n"/>
      <c r="H137" s="31" t="n"/>
      <c r="I137" s="31" t="n"/>
      <c r="J137" s="31" t="n">
        <v>0</v>
      </c>
      <c r="K137" s="31" t="n">
        <v>0</v>
      </c>
      <c r="L137" s="31" t="n">
        <v>0</v>
      </c>
      <c r="M137" s="31" t="n">
        <v>0</v>
      </c>
      <c r="N137" s="21" t="inlineStr"/>
      <c r="O137" s="21" t="inlineStr"/>
      <c r="P137" s="21" t="inlineStr"/>
      <c r="Q137" s="21" t="inlineStr"/>
      <c r="R137" s="40" t="n">
        <v>10</v>
      </c>
      <c r="S137" s="21" t="inlineStr">
        <is>
          <t>CP:R 356</t>
        </is>
      </c>
      <c r="T137" s="21" t="inlineStr">
        <is>
          <t>Homeless. Ragged. Vagrant.</t>
        </is>
      </c>
    </row>
    <row r="138">
      <c r="A138" s="21" t="inlineStr">
        <is>
          <t>Bohemian Bottoms</t>
        </is>
      </c>
      <c r="B138" s="21" t="inlineStr">
        <is>
          <t>Мода</t>
        </is>
      </c>
      <c r="C138" s="21" t="inlineStr"/>
      <c r="D138" s="21" t="inlineStr"/>
      <c r="E138" s="21" t="inlineStr"/>
      <c r="F138" s="31" t="n"/>
      <c r="G138" s="31" t="n"/>
      <c r="H138" s="31" t="n"/>
      <c r="I138" s="31" t="n"/>
      <c r="J138" s="31" t="n">
        <v>0</v>
      </c>
      <c r="K138" s="31" t="n">
        <v>0</v>
      </c>
      <c r="L138" s="31" t="n">
        <v>0</v>
      </c>
      <c r="M138" s="31" t="n">
        <v>0</v>
      </c>
      <c r="N138" s="21" t="inlineStr"/>
      <c r="O138" s="21" t="inlineStr"/>
      <c r="P138" s="21" t="inlineStr"/>
      <c r="Q138" s="21" t="inlineStr"/>
      <c r="R138" s="40" t="n">
        <v>50</v>
      </c>
      <c r="S138" s="21" t="inlineStr">
        <is>
          <t>CP:R 356</t>
        </is>
      </c>
      <c r="T138" s="21" t="inlineStr">
        <is>
          <t>Folksy. Retro. Free Spirited.</t>
        </is>
      </c>
    </row>
    <row r="139">
      <c r="A139" s="21" t="inlineStr">
        <is>
          <t>Bohemian Top</t>
        </is>
      </c>
      <c r="B139" s="21" t="inlineStr">
        <is>
          <t>Мода</t>
        </is>
      </c>
      <c r="C139" s="21" t="inlineStr"/>
      <c r="D139" s="21" t="inlineStr"/>
      <c r="E139" s="21" t="inlineStr"/>
      <c r="F139" s="31" t="n"/>
      <c r="G139" s="31" t="n"/>
      <c r="H139" s="31" t="n"/>
      <c r="I139" s="31" t="n"/>
      <c r="J139" s="31" t="n">
        <v>0</v>
      </c>
      <c r="K139" s="31" t="n">
        <v>0</v>
      </c>
      <c r="L139" s="31" t="n">
        <v>0</v>
      </c>
      <c r="M139" s="31" t="n">
        <v>0</v>
      </c>
      <c r="N139" s="21" t="inlineStr"/>
      <c r="O139" s="21" t="inlineStr"/>
      <c r="P139" s="21" t="inlineStr"/>
      <c r="Q139" s="21" t="inlineStr"/>
      <c r="R139" s="40" t="n">
        <v>20</v>
      </c>
      <c r="S139" s="21" t="inlineStr">
        <is>
          <t>CP:R 356</t>
        </is>
      </c>
      <c r="T139" s="21" t="inlineStr">
        <is>
          <t>Folksy. Retro. Free Spirited.</t>
        </is>
      </c>
    </row>
    <row r="140">
      <c r="A140" s="21" t="inlineStr">
        <is>
          <t>Bohemian Jacket</t>
        </is>
      </c>
      <c r="B140" s="21" t="inlineStr">
        <is>
          <t>Мода</t>
        </is>
      </c>
      <c r="C140" s="21" t="inlineStr"/>
      <c r="D140" s="21" t="inlineStr"/>
      <c r="E140" s="21" t="inlineStr"/>
      <c r="F140" s="31" t="n"/>
      <c r="G140" s="31" t="n"/>
      <c r="H140" s="31" t="n"/>
      <c r="I140" s="31" t="n"/>
      <c r="J140" s="31" t="n">
        <v>0</v>
      </c>
      <c r="K140" s="31" t="n">
        <v>0</v>
      </c>
      <c r="L140" s="31" t="n">
        <v>0</v>
      </c>
      <c r="M140" s="31" t="n">
        <v>0</v>
      </c>
      <c r="N140" s="21" t="inlineStr"/>
      <c r="O140" s="21" t="inlineStr"/>
      <c r="P140" s="21" t="inlineStr"/>
      <c r="Q140" s="21" t="inlineStr"/>
      <c r="R140" s="40" t="n">
        <v>50</v>
      </c>
      <c r="S140" s="21" t="inlineStr">
        <is>
          <t>CP:R 356</t>
        </is>
      </c>
      <c r="T140" s="21" t="inlineStr">
        <is>
          <t>Folksy. Retro. Free Spirited.</t>
        </is>
      </c>
    </row>
    <row r="141">
      <c r="A141" s="21" t="inlineStr">
        <is>
          <t>Bohemian Footwear</t>
        </is>
      </c>
      <c r="B141" s="21" t="inlineStr">
        <is>
          <t>Мода</t>
        </is>
      </c>
      <c r="C141" s="21" t="inlineStr"/>
      <c r="D141" s="21" t="inlineStr"/>
      <c r="E141" s="21" t="inlineStr"/>
      <c r="F141" s="31" t="n"/>
      <c r="G141" s="31" t="n"/>
      <c r="H141" s="31" t="n"/>
      <c r="I141" s="31" t="n"/>
      <c r="J141" s="31" t="n">
        <v>0</v>
      </c>
      <c r="K141" s="31" t="n">
        <v>0</v>
      </c>
      <c r="L141" s="31" t="n">
        <v>0</v>
      </c>
      <c r="M141" s="31" t="n">
        <v>0</v>
      </c>
      <c r="N141" s="21" t="inlineStr"/>
      <c r="O141" s="21" t="inlineStr"/>
      <c r="P141" s="21" t="inlineStr"/>
      <c r="Q141" s="21" t="inlineStr"/>
      <c r="R141" s="40" t="n">
        <v>50</v>
      </c>
      <c r="S141" s="21" t="inlineStr">
        <is>
          <t>CP:R 356</t>
        </is>
      </c>
      <c r="T141" s="21" t="inlineStr">
        <is>
          <t>Folksy. Retro. Free Spirited.</t>
        </is>
      </c>
    </row>
    <row r="142">
      <c r="A142" s="21" t="inlineStr">
        <is>
          <t>Bohemian Jewelry</t>
        </is>
      </c>
      <c r="B142" s="21" t="inlineStr">
        <is>
          <t>Мода</t>
        </is>
      </c>
      <c r="C142" s="21" t="inlineStr"/>
      <c r="D142" s="21" t="inlineStr"/>
      <c r="E142" s="21" t="inlineStr"/>
      <c r="F142" s="31" t="n"/>
      <c r="G142" s="31" t="n"/>
      <c r="H142" s="31" t="n"/>
      <c r="I142" s="31" t="n"/>
      <c r="J142" s="31" t="n">
        <v>0</v>
      </c>
      <c r="K142" s="31" t="n">
        <v>0</v>
      </c>
      <c r="L142" s="31" t="n">
        <v>0</v>
      </c>
      <c r="M142" s="31" t="n">
        <v>0</v>
      </c>
      <c r="N142" s="21" t="inlineStr"/>
      <c r="O142" s="21" t="inlineStr"/>
      <c r="P142" s="21" t="inlineStr"/>
      <c r="Q142" s="21" t="inlineStr"/>
      <c r="R142" s="40" t="n">
        <v>100</v>
      </c>
      <c r="S142" s="21" t="inlineStr">
        <is>
          <t>CP:R 356</t>
        </is>
      </c>
      <c r="T142" s="21" t="inlineStr">
        <is>
          <t>Folksy. Retro. Free Spirited.</t>
        </is>
      </c>
    </row>
    <row r="143">
      <c r="A143" s="21" t="inlineStr">
        <is>
          <t>Bohemian Mirrorshades</t>
        </is>
      </c>
      <c r="B143" s="21" t="inlineStr">
        <is>
          <t>Мода</t>
        </is>
      </c>
      <c r="C143" s="21" t="inlineStr"/>
      <c r="D143" s="21" t="inlineStr"/>
      <c r="E143" s="21" t="inlineStr"/>
      <c r="F143" s="31" t="n"/>
      <c r="G143" s="31" t="n"/>
      <c r="H143" s="31" t="n"/>
      <c r="I143" s="31" t="n"/>
      <c r="J143" s="31" t="n">
        <v>0</v>
      </c>
      <c r="K143" s="31" t="n">
        <v>0</v>
      </c>
      <c r="L143" s="31" t="n">
        <v>0</v>
      </c>
      <c r="M143" s="31" t="n">
        <v>0</v>
      </c>
      <c r="N143" s="21" t="inlineStr"/>
      <c r="O143" s="21" t="inlineStr"/>
      <c r="P143" s="21" t="inlineStr"/>
      <c r="Q143" s="21" t="inlineStr"/>
      <c r="R143" s="40" t="n">
        <v>50</v>
      </c>
      <c r="S143" s="21" t="inlineStr">
        <is>
          <t>CP:R 356</t>
        </is>
      </c>
      <c r="T143" s="21" t="inlineStr">
        <is>
          <t>Folksy. Retro. Free Spirited.</t>
        </is>
      </c>
    </row>
    <row r="144">
      <c r="A144" s="21" t="inlineStr">
        <is>
          <t>Bohemian Glasses</t>
        </is>
      </c>
      <c r="B144" s="21" t="inlineStr">
        <is>
          <t>Мода</t>
        </is>
      </c>
      <c r="C144" s="21" t="inlineStr"/>
      <c r="D144" s="21" t="inlineStr"/>
      <c r="E144" s="21" t="inlineStr"/>
      <c r="F144" s="31" t="n"/>
      <c r="G144" s="31" t="n"/>
      <c r="H144" s="31" t="n"/>
      <c r="I144" s="31" t="n"/>
      <c r="J144" s="31" t="n">
        <v>0</v>
      </c>
      <c r="K144" s="31" t="n">
        <v>0</v>
      </c>
      <c r="L144" s="31" t="n">
        <v>0</v>
      </c>
      <c r="M144" s="31" t="n">
        <v>0</v>
      </c>
      <c r="N144" s="21" t="inlineStr"/>
      <c r="O144" s="21" t="inlineStr"/>
      <c r="P144" s="21" t="inlineStr"/>
      <c r="Q144" s="21" t="inlineStr"/>
      <c r="R144" s="40" t="n">
        <v>50</v>
      </c>
      <c r="S144" s="21" t="inlineStr">
        <is>
          <t>CP:R 356</t>
        </is>
      </c>
      <c r="T144" s="21" t="inlineStr">
        <is>
          <t>Folksy. Retro. Free Spirited.</t>
        </is>
      </c>
    </row>
    <row r="145">
      <c r="A145" s="21" t="inlineStr">
        <is>
          <t>Bohemian Contact Lenses</t>
        </is>
      </c>
      <c r="B145" s="21" t="inlineStr">
        <is>
          <t>Мода</t>
        </is>
      </c>
      <c r="C145" s="21" t="inlineStr"/>
      <c r="D145" s="21" t="inlineStr"/>
      <c r="E145" s="21" t="inlineStr"/>
      <c r="F145" s="31" t="n"/>
      <c r="G145" s="31" t="n"/>
      <c r="H145" s="31" t="n"/>
      <c r="I145" s="31" t="n"/>
      <c r="J145" s="31" t="n">
        <v>0</v>
      </c>
      <c r="K145" s="31" t="n">
        <v>0</v>
      </c>
      <c r="L145" s="31" t="n">
        <v>0</v>
      </c>
      <c r="M145" s="31" t="n">
        <v>0</v>
      </c>
      <c r="N145" s="21" t="inlineStr"/>
      <c r="O145" s="21" t="inlineStr"/>
      <c r="P145" s="21" t="inlineStr"/>
      <c r="Q145" s="21" t="inlineStr"/>
      <c r="R145" s="40" t="n">
        <v>10</v>
      </c>
      <c r="S145" s="21" t="inlineStr">
        <is>
          <t>CP:R 356</t>
        </is>
      </c>
      <c r="T145" s="21" t="inlineStr">
        <is>
          <t>Folksy. Retro. Free Spirited.</t>
        </is>
      </c>
    </row>
    <row r="146">
      <c r="A146" s="21" t="inlineStr">
        <is>
          <t>Bohemian Hats</t>
        </is>
      </c>
      <c r="B146" s="21" t="inlineStr">
        <is>
          <t>Мода</t>
        </is>
      </c>
      <c r="C146" s="21" t="inlineStr"/>
      <c r="D146" s="21" t="inlineStr"/>
      <c r="E146" s="21" t="inlineStr"/>
      <c r="F146" s="31" t="n"/>
      <c r="G146" s="31" t="n"/>
      <c r="H146" s="31" t="n"/>
      <c r="I146" s="31" t="n"/>
      <c r="J146" s="31" t="n">
        <v>0</v>
      </c>
      <c r="K146" s="31" t="n">
        <v>0</v>
      </c>
      <c r="L146" s="31" t="n">
        <v>0</v>
      </c>
      <c r="M146" s="31" t="n">
        <v>0</v>
      </c>
      <c r="N146" s="21" t="inlineStr"/>
      <c r="O146" s="21" t="inlineStr"/>
      <c r="P146" s="21" t="inlineStr"/>
      <c r="Q146" s="21" t="inlineStr"/>
      <c r="R146" s="40" t="n">
        <v>10</v>
      </c>
      <c r="S146" s="21" t="inlineStr">
        <is>
          <t>CP:R 356</t>
        </is>
      </c>
      <c r="T146" s="21" t="inlineStr">
        <is>
          <t>Folksy. Retro. Free Spirited.</t>
        </is>
      </c>
    </row>
    <row r="147">
      <c r="A147" s="21" t="inlineStr">
        <is>
          <t>Businesswear Bottoms</t>
        </is>
      </c>
      <c r="B147" s="21" t="inlineStr">
        <is>
          <t>Мода</t>
        </is>
      </c>
      <c r="C147" s="21" t="inlineStr"/>
      <c r="D147" s="21" t="inlineStr"/>
      <c r="E147" s="21" t="inlineStr"/>
      <c r="F147" s="31" t="n"/>
      <c r="G147" s="31" t="n"/>
      <c r="H147" s="31" t="n"/>
      <c r="I147" s="31" t="n"/>
      <c r="J147" s="31" t="n">
        <v>0</v>
      </c>
      <c r="K147" s="31" t="n">
        <v>0</v>
      </c>
      <c r="L147" s="31" t="n">
        <v>0</v>
      </c>
      <c r="M147" s="31" t="n">
        <v>0</v>
      </c>
      <c r="N147" s="21" t="inlineStr"/>
      <c r="O147" s="21" t="inlineStr"/>
      <c r="P147" s="21" t="inlineStr"/>
      <c r="Q147" s="21" t="inlineStr"/>
      <c r="R147" s="40" t="n">
        <v>500</v>
      </c>
      <c r="S147" s="21" t="inlineStr">
        <is>
          <t>CP:R 356</t>
        </is>
      </c>
      <c r="T147" s="21" t="inlineStr">
        <is>
          <t>Leadership. Presence. Authority.</t>
        </is>
      </c>
    </row>
    <row r="148">
      <c r="A148" s="21" t="inlineStr">
        <is>
          <t>Businesswear Top</t>
        </is>
      </c>
      <c r="B148" s="21" t="inlineStr">
        <is>
          <t>Мода</t>
        </is>
      </c>
      <c r="C148" s="21" t="inlineStr"/>
      <c r="D148" s="21" t="inlineStr"/>
      <c r="E148" s="21" t="inlineStr"/>
      <c r="F148" s="31" t="n"/>
      <c r="G148" s="31" t="n"/>
      <c r="H148" s="31" t="n"/>
      <c r="I148" s="31" t="n"/>
      <c r="J148" s="31" t="n">
        <v>0</v>
      </c>
      <c r="K148" s="31" t="n">
        <v>0</v>
      </c>
      <c r="L148" s="31" t="n">
        <v>0</v>
      </c>
      <c r="M148" s="31" t="n">
        <v>0</v>
      </c>
      <c r="N148" s="21" t="inlineStr"/>
      <c r="O148" s="21" t="inlineStr"/>
      <c r="P148" s="21" t="inlineStr"/>
      <c r="Q148" s="21" t="inlineStr"/>
      <c r="R148" s="40" t="n">
        <v>50</v>
      </c>
      <c r="S148" s="21" t="inlineStr">
        <is>
          <t>CP:R 356</t>
        </is>
      </c>
      <c r="T148" s="21" t="inlineStr">
        <is>
          <t>Leadership. Presence. Authority.</t>
        </is>
      </c>
    </row>
    <row r="149">
      <c r="A149" s="21" t="inlineStr">
        <is>
          <t>Businesswear Jacket</t>
        </is>
      </c>
      <c r="B149" s="21" t="inlineStr">
        <is>
          <t>Мода</t>
        </is>
      </c>
      <c r="C149" s="21" t="inlineStr"/>
      <c r="D149" s="21" t="inlineStr"/>
      <c r="E149" s="21" t="inlineStr"/>
      <c r="F149" s="31" t="n"/>
      <c r="G149" s="31" t="n"/>
      <c r="H149" s="31" t="n"/>
      <c r="I149" s="31" t="n"/>
      <c r="J149" s="31" t="n">
        <v>0</v>
      </c>
      <c r="K149" s="31" t="n">
        <v>0</v>
      </c>
      <c r="L149" s="31" t="n">
        <v>0</v>
      </c>
      <c r="M149" s="31" t="n">
        <v>0</v>
      </c>
      <c r="N149" s="21" t="inlineStr"/>
      <c r="O149" s="21" t="inlineStr"/>
      <c r="P149" s="21" t="inlineStr"/>
      <c r="Q149" s="21" t="inlineStr"/>
      <c r="R149" s="40" t="n">
        <v>500</v>
      </c>
      <c r="S149" s="21" t="inlineStr">
        <is>
          <t>CP:R 356</t>
        </is>
      </c>
      <c r="T149" s="21" t="inlineStr">
        <is>
          <t>Leadership. Presence. Authority.</t>
        </is>
      </c>
    </row>
    <row r="150">
      <c r="A150" s="21" t="inlineStr">
        <is>
          <t>Businesswear Footwear</t>
        </is>
      </c>
      <c r="B150" s="21" t="inlineStr">
        <is>
          <t>Мода</t>
        </is>
      </c>
      <c r="C150" s="21" t="inlineStr"/>
      <c r="D150" s="21" t="inlineStr"/>
      <c r="E150" s="21" t="inlineStr"/>
      <c r="F150" s="31" t="n"/>
      <c r="G150" s="31" t="n"/>
      <c r="H150" s="31" t="n"/>
      <c r="I150" s="31" t="n"/>
      <c r="J150" s="31" t="n">
        <v>0</v>
      </c>
      <c r="K150" s="31" t="n">
        <v>0</v>
      </c>
      <c r="L150" s="31" t="n">
        <v>0</v>
      </c>
      <c r="M150" s="31" t="n">
        <v>0</v>
      </c>
      <c r="N150" s="21" t="inlineStr"/>
      <c r="O150" s="21" t="inlineStr"/>
      <c r="P150" s="21" t="inlineStr"/>
      <c r="Q150" s="21" t="inlineStr"/>
      <c r="R150" s="40" t="n">
        <v>500</v>
      </c>
      <c r="S150" s="21" t="inlineStr">
        <is>
          <t>CP:R 356</t>
        </is>
      </c>
      <c r="T150" s="21" t="inlineStr">
        <is>
          <t>Leadership. Presence. Authority.</t>
        </is>
      </c>
    </row>
    <row r="151">
      <c r="A151" s="21" t="inlineStr">
        <is>
          <t>Businesswear Jewelry</t>
        </is>
      </c>
      <c r="B151" s="21" t="inlineStr">
        <is>
          <t>Мода</t>
        </is>
      </c>
      <c r="C151" s="21" t="inlineStr"/>
      <c r="D151" s="21" t="inlineStr"/>
      <c r="E151" s="21" t="inlineStr"/>
      <c r="F151" s="31" t="n"/>
      <c r="G151" s="31" t="n"/>
      <c r="H151" s="31" t="n"/>
      <c r="I151" s="31" t="n"/>
      <c r="J151" s="31" t="n">
        <v>0</v>
      </c>
      <c r="K151" s="31" t="n">
        <v>0</v>
      </c>
      <c r="L151" s="31" t="n">
        <v>0</v>
      </c>
      <c r="M151" s="31" t="n">
        <v>0</v>
      </c>
      <c r="N151" s="21" t="inlineStr"/>
      <c r="O151" s="21" t="inlineStr"/>
      <c r="P151" s="21" t="inlineStr"/>
      <c r="Q151" s="21" t="inlineStr"/>
      <c r="R151" s="40" t="n">
        <v>5000</v>
      </c>
      <c r="S151" s="21" t="inlineStr">
        <is>
          <t>CP:R 356</t>
        </is>
      </c>
      <c r="T151" s="21" t="inlineStr">
        <is>
          <t>Leadership. Presence. Authority.</t>
        </is>
      </c>
    </row>
    <row r="152">
      <c r="A152" s="21" t="inlineStr">
        <is>
          <t>Businesswear Mirrorshades</t>
        </is>
      </c>
      <c r="B152" s="21" t="inlineStr">
        <is>
          <t>Мода</t>
        </is>
      </c>
      <c r="C152" s="21" t="inlineStr"/>
      <c r="D152" s="21" t="inlineStr"/>
      <c r="E152" s="21" t="inlineStr"/>
      <c r="F152" s="31" t="n"/>
      <c r="G152" s="31" t="n"/>
      <c r="H152" s="31" t="n"/>
      <c r="I152" s="31" t="n"/>
      <c r="J152" s="31" t="n">
        <v>0</v>
      </c>
      <c r="K152" s="31" t="n">
        <v>0</v>
      </c>
      <c r="L152" s="31" t="n">
        <v>0</v>
      </c>
      <c r="M152" s="31" t="n">
        <v>0</v>
      </c>
      <c r="N152" s="21" t="inlineStr"/>
      <c r="O152" s="21" t="inlineStr"/>
      <c r="P152" s="21" t="inlineStr"/>
      <c r="Q152" s="21" t="inlineStr"/>
      <c r="R152" s="40" t="n">
        <v>500</v>
      </c>
      <c r="S152" s="21" t="inlineStr">
        <is>
          <t>CP:R 356</t>
        </is>
      </c>
      <c r="T152" s="21" t="inlineStr">
        <is>
          <t>Leadership. Presence. Authority.</t>
        </is>
      </c>
    </row>
    <row r="153">
      <c r="A153" s="21" t="inlineStr">
        <is>
          <t>Businesswear Glasses</t>
        </is>
      </c>
      <c r="B153" s="21" t="inlineStr">
        <is>
          <t>Мода</t>
        </is>
      </c>
      <c r="C153" s="21" t="inlineStr"/>
      <c r="D153" s="21" t="inlineStr"/>
      <c r="E153" s="21" t="inlineStr"/>
      <c r="F153" s="31" t="n"/>
      <c r="G153" s="31" t="n"/>
      <c r="H153" s="31" t="n"/>
      <c r="I153" s="31" t="n"/>
      <c r="J153" s="31" t="n">
        <v>0</v>
      </c>
      <c r="K153" s="31" t="n">
        <v>0</v>
      </c>
      <c r="L153" s="31" t="n">
        <v>0</v>
      </c>
      <c r="M153" s="31" t="n">
        <v>0</v>
      </c>
      <c r="N153" s="21" t="inlineStr"/>
      <c r="O153" s="21" t="inlineStr"/>
      <c r="P153" s="21" t="inlineStr"/>
      <c r="Q153" s="21" t="inlineStr"/>
      <c r="R153" s="40" t="n">
        <v>500</v>
      </c>
      <c r="S153" s="21" t="inlineStr">
        <is>
          <t>CP:R 356</t>
        </is>
      </c>
      <c r="T153" s="21" t="inlineStr">
        <is>
          <t>Leadership. Presence. Authority.</t>
        </is>
      </c>
    </row>
    <row r="154">
      <c r="A154" s="21" t="inlineStr">
        <is>
          <t>Businesswear Contact Lenses</t>
        </is>
      </c>
      <c r="B154" s="21" t="inlineStr">
        <is>
          <t>Мода</t>
        </is>
      </c>
      <c r="C154" s="21" t="inlineStr"/>
      <c r="D154" s="21" t="inlineStr"/>
      <c r="E154" s="21" t="inlineStr"/>
      <c r="F154" s="31" t="n"/>
      <c r="G154" s="31" t="n"/>
      <c r="H154" s="31" t="n"/>
      <c r="I154" s="31" t="n"/>
      <c r="J154" s="31" t="n">
        <v>0</v>
      </c>
      <c r="K154" s="31" t="n">
        <v>0</v>
      </c>
      <c r="L154" s="31" t="n">
        <v>0</v>
      </c>
      <c r="M154" s="31" t="n">
        <v>0</v>
      </c>
      <c r="N154" s="21" t="inlineStr"/>
      <c r="O154" s="21" t="inlineStr"/>
      <c r="P154" s="21" t="inlineStr"/>
      <c r="Q154" s="21" t="inlineStr"/>
      <c r="R154" s="40" t="n">
        <v>100</v>
      </c>
      <c r="S154" s="21" t="inlineStr">
        <is>
          <t>CP:R 356</t>
        </is>
      </c>
      <c r="T154" s="21" t="inlineStr">
        <is>
          <t>Leadership. Presence. Authority.</t>
        </is>
      </c>
    </row>
    <row r="155">
      <c r="A155" s="21" t="inlineStr">
        <is>
          <t>Businesswear Hats</t>
        </is>
      </c>
      <c r="B155" s="21" t="inlineStr">
        <is>
          <t>Мода</t>
        </is>
      </c>
      <c r="C155" s="21" t="inlineStr"/>
      <c r="D155" s="21" t="inlineStr"/>
      <c r="E155" s="21" t="inlineStr"/>
      <c r="F155" s="31" t="n"/>
      <c r="G155" s="31" t="n"/>
      <c r="H155" s="31" t="n"/>
      <c r="I155" s="31" t="n"/>
      <c r="J155" s="31" t="n">
        <v>0</v>
      </c>
      <c r="K155" s="31" t="n">
        <v>0</v>
      </c>
      <c r="L155" s="31" t="n">
        <v>0</v>
      </c>
      <c r="M155" s="31" t="n">
        <v>0</v>
      </c>
      <c r="N155" s="21" t="inlineStr"/>
      <c r="O155" s="21" t="inlineStr"/>
      <c r="P155" s="21" t="inlineStr"/>
      <c r="Q155" s="21" t="inlineStr"/>
      <c r="R155" s="40" t="n">
        <v>500</v>
      </c>
      <c r="S155" s="21" t="inlineStr">
        <is>
          <t>CP:R 356</t>
        </is>
      </c>
      <c r="T155" s="21" t="inlineStr">
        <is>
          <t>Leadership. Presence. Authority.</t>
        </is>
      </c>
    </row>
    <row r="156">
      <c r="A156" s="21" t="inlineStr">
        <is>
          <t>Gang Colors Bottoms</t>
        </is>
      </c>
      <c r="B156" s="21" t="inlineStr">
        <is>
          <t>Мода</t>
        </is>
      </c>
      <c r="C156" s="21" t="inlineStr"/>
      <c r="D156" s="21" t="inlineStr"/>
      <c r="E156" s="21" t="inlineStr"/>
      <c r="F156" s="31" t="n"/>
      <c r="G156" s="31" t="n"/>
      <c r="H156" s="31" t="n"/>
      <c r="I156" s="31" t="n"/>
      <c r="J156" s="31" t="n">
        <v>0</v>
      </c>
      <c r="K156" s="31" t="n">
        <v>0</v>
      </c>
      <c r="L156" s="31" t="n">
        <v>0</v>
      </c>
      <c r="M156" s="31" t="n">
        <v>0</v>
      </c>
      <c r="N156" s="21" t="inlineStr"/>
      <c r="O156" s="21" t="inlineStr"/>
      <c r="P156" s="21" t="inlineStr"/>
      <c r="Q156" s="21" t="inlineStr"/>
      <c r="R156" s="40" t="n">
        <v>50</v>
      </c>
      <c r="S156" s="21" t="inlineStr">
        <is>
          <t>CP:R 356</t>
        </is>
      </c>
      <c r="T156" s="21" t="inlineStr">
        <is>
          <t>Dangerous. Violent. Rebellious.</t>
        </is>
      </c>
    </row>
    <row r="157">
      <c r="A157" s="21" t="inlineStr">
        <is>
          <t>Gang Colors Top</t>
        </is>
      </c>
      <c r="B157" s="21" t="inlineStr">
        <is>
          <t>Мода</t>
        </is>
      </c>
      <c r="C157" s="21" t="inlineStr"/>
      <c r="D157" s="21" t="inlineStr"/>
      <c r="E157" s="21" t="inlineStr"/>
      <c r="F157" s="31" t="n"/>
      <c r="G157" s="31" t="n"/>
      <c r="H157" s="31" t="n"/>
      <c r="I157" s="31" t="n"/>
      <c r="J157" s="31" t="n">
        <v>0</v>
      </c>
      <c r="K157" s="31" t="n">
        <v>0</v>
      </c>
      <c r="L157" s="31" t="n">
        <v>0</v>
      </c>
      <c r="M157" s="31" t="n">
        <v>0</v>
      </c>
      <c r="N157" s="21" t="inlineStr"/>
      <c r="O157" s="21" t="inlineStr"/>
      <c r="P157" s="21" t="inlineStr"/>
      <c r="Q157" s="21" t="inlineStr"/>
      <c r="R157" s="40" t="n">
        <v>20</v>
      </c>
      <c r="S157" s="21" t="inlineStr">
        <is>
          <t>CP:R 356</t>
        </is>
      </c>
      <c r="T157" s="21" t="inlineStr">
        <is>
          <t>Dangerous. Violent. Rebellious.</t>
        </is>
      </c>
    </row>
    <row r="158">
      <c r="A158" s="21" t="inlineStr">
        <is>
          <t>Gang Colors Jacket</t>
        </is>
      </c>
      <c r="B158" s="21" t="inlineStr">
        <is>
          <t>Мода</t>
        </is>
      </c>
      <c r="C158" s="21" t="inlineStr"/>
      <c r="D158" s="21" t="inlineStr"/>
      <c r="E158" s="21" t="inlineStr"/>
      <c r="F158" s="31" t="n"/>
      <c r="G158" s="31" t="n"/>
      <c r="H158" s="31" t="n"/>
      <c r="I158" s="31" t="n"/>
      <c r="J158" s="31" t="n">
        <v>0</v>
      </c>
      <c r="K158" s="31" t="n">
        <v>0</v>
      </c>
      <c r="L158" s="31" t="n">
        <v>0</v>
      </c>
      <c r="M158" s="31" t="n">
        <v>0</v>
      </c>
      <c r="N158" s="21" t="inlineStr"/>
      <c r="O158" s="21" t="inlineStr"/>
      <c r="P158" s="21" t="inlineStr"/>
      <c r="Q158" s="21" t="inlineStr"/>
      <c r="R158" s="40" t="n">
        <v>50</v>
      </c>
      <c r="S158" s="21" t="inlineStr">
        <is>
          <t>CP:R 356</t>
        </is>
      </c>
      <c r="T158" s="21" t="inlineStr">
        <is>
          <t>Dangerous. Violent. Rebellious.</t>
        </is>
      </c>
    </row>
    <row r="159">
      <c r="A159" s="21" t="inlineStr">
        <is>
          <t>Gang Colors Footwear</t>
        </is>
      </c>
      <c r="B159" s="21" t="inlineStr">
        <is>
          <t>Мода</t>
        </is>
      </c>
      <c r="C159" s="21" t="inlineStr"/>
      <c r="D159" s="21" t="inlineStr"/>
      <c r="E159" s="21" t="inlineStr"/>
      <c r="F159" s="31" t="n"/>
      <c r="G159" s="31" t="n"/>
      <c r="H159" s="31" t="n"/>
      <c r="I159" s="31" t="n"/>
      <c r="J159" s="31" t="n">
        <v>0</v>
      </c>
      <c r="K159" s="31" t="n">
        <v>0</v>
      </c>
      <c r="L159" s="31" t="n">
        <v>0</v>
      </c>
      <c r="M159" s="31" t="n">
        <v>0</v>
      </c>
      <c r="N159" s="21" t="inlineStr"/>
      <c r="O159" s="21" t="inlineStr"/>
      <c r="P159" s="21" t="inlineStr"/>
      <c r="Q159" s="21" t="inlineStr"/>
      <c r="R159" s="40" t="n">
        <v>20</v>
      </c>
      <c r="S159" s="21" t="inlineStr">
        <is>
          <t>CP:R 356</t>
        </is>
      </c>
      <c r="T159" s="21" t="inlineStr">
        <is>
          <t>Dangerous. Violent. Rebellious.</t>
        </is>
      </c>
    </row>
    <row r="160">
      <c r="A160" s="21" t="inlineStr">
        <is>
          <t>Gang Colors Jewelry</t>
        </is>
      </c>
      <c r="B160" s="21" t="inlineStr">
        <is>
          <t>Мода</t>
        </is>
      </c>
      <c r="C160" s="21" t="inlineStr"/>
      <c r="D160" s="21" t="inlineStr"/>
      <c r="E160" s="21" t="inlineStr"/>
      <c r="F160" s="31" t="n"/>
      <c r="G160" s="31" t="n"/>
      <c r="H160" s="31" t="n"/>
      <c r="I160" s="31" t="n"/>
      <c r="J160" s="31" t="n">
        <v>0</v>
      </c>
      <c r="K160" s="31" t="n">
        <v>0</v>
      </c>
      <c r="L160" s="31" t="n">
        <v>0</v>
      </c>
      <c r="M160" s="31" t="n">
        <v>0</v>
      </c>
      <c r="N160" s="21" t="inlineStr"/>
      <c r="O160" s="21" t="inlineStr"/>
      <c r="P160" s="21" t="inlineStr"/>
      <c r="Q160" s="21" t="inlineStr"/>
      <c r="R160" s="40" t="n">
        <v>50</v>
      </c>
      <c r="S160" s="21" t="inlineStr">
        <is>
          <t>CP:R 356</t>
        </is>
      </c>
      <c r="T160" s="21" t="inlineStr">
        <is>
          <t>Dangerous. Violent. Rebellious.</t>
        </is>
      </c>
    </row>
    <row r="161">
      <c r="A161" s="21" t="inlineStr">
        <is>
          <t>Gang Colors Mirrorshades</t>
        </is>
      </c>
      <c r="B161" s="21" t="inlineStr">
        <is>
          <t>Мода</t>
        </is>
      </c>
      <c r="C161" s="21" t="inlineStr"/>
      <c r="D161" s="21" t="inlineStr"/>
      <c r="E161" s="21" t="inlineStr"/>
      <c r="F161" s="31" t="n"/>
      <c r="G161" s="31" t="n"/>
      <c r="H161" s="31" t="n"/>
      <c r="I161" s="31" t="n"/>
      <c r="J161" s="31" t="n">
        <v>0</v>
      </c>
      <c r="K161" s="31" t="n">
        <v>0</v>
      </c>
      <c r="L161" s="31" t="n">
        <v>0</v>
      </c>
      <c r="M161" s="31" t="n">
        <v>0</v>
      </c>
      <c r="N161" s="21" t="inlineStr"/>
      <c r="O161" s="21" t="inlineStr"/>
      <c r="P161" s="21" t="inlineStr"/>
      <c r="Q161" s="21" t="inlineStr"/>
      <c r="R161" s="40" t="n">
        <v>20</v>
      </c>
      <c r="S161" s="21" t="inlineStr">
        <is>
          <t>CP:R 356</t>
        </is>
      </c>
      <c r="T161" s="21" t="inlineStr">
        <is>
          <t>Dangerous. Violent. Rebellious.</t>
        </is>
      </c>
    </row>
    <row r="162">
      <c r="A162" s="21" t="inlineStr">
        <is>
          <t>Gang Colors Glasses</t>
        </is>
      </c>
      <c r="B162" s="21" t="inlineStr">
        <is>
          <t>Мода</t>
        </is>
      </c>
      <c r="C162" s="21" t="inlineStr"/>
      <c r="D162" s="21" t="inlineStr"/>
      <c r="E162" s="21" t="inlineStr"/>
      <c r="F162" s="31" t="n"/>
      <c r="G162" s="31" t="n"/>
      <c r="H162" s="31" t="n"/>
      <c r="I162" s="31" t="n"/>
      <c r="J162" s="31" t="n">
        <v>0</v>
      </c>
      <c r="K162" s="31" t="n">
        <v>0</v>
      </c>
      <c r="L162" s="31" t="n">
        <v>0</v>
      </c>
      <c r="M162" s="31" t="n">
        <v>0</v>
      </c>
      <c r="N162" s="21" t="inlineStr"/>
      <c r="O162" s="21" t="inlineStr"/>
      <c r="P162" s="21" t="inlineStr"/>
      <c r="Q162" s="21" t="inlineStr"/>
      <c r="R162" s="40" t="n">
        <v>20</v>
      </c>
      <c r="S162" s="21" t="inlineStr">
        <is>
          <t>CP:R 356</t>
        </is>
      </c>
      <c r="T162" s="21" t="inlineStr">
        <is>
          <t>Dangerous. Violent. Rebellious.</t>
        </is>
      </c>
    </row>
    <row r="163">
      <c r="A163" s="21" t="inlineStr">
        <is>
          <t>Gang Colors Contact Lenses</t>
        </is>
      </c>
      <c r="B163" s="21" t="inlineStr">
        <is>
          <t>Мода</t>
        </is>
      </c>
      <c r="C163" s="21" t="inlineStr"/>
      <c r="D163" s="21" t="inlineStr"/>
      <c r="E163" s="21" t="inlineStr"/>
      <c r="F163" s="31" t="n"/>
      <c r="G163" s="31" t="n"/>
      <c r="H163" s="31" t="n"/>
      <c r="I163" s="31" t="n"/>
      <c r="J163" s="31" t="n">
        <v>0</v>
      </c>
      <c r="K163" s="31" t="n">
        <v>0</v>
      </c>
      <c r="L163" s="31" t="n">
        <v>0</v>
      </c>
      <c r="M163" s="31" t="n">
        <v>0</v>
      </c>
      <c r="N163" s="21" t="inlineStr"/>
      <c r="O163" s="21" t="inlineStr"/>
      <c r="P163" s="21" t="inlineStr"/>
      <c r="Q163" s="21" t="inlineStr"/>
      <c r="R163" s="40" t="n">
        <v>10</v>
      </c>
      <c r="S163" s="21" t="inlineStr">
        <is>
          <t>CP:R 356</t>
        </is>
      </c>
      <c r="T163" s="21" t="inlineStr">
        <is>
          <t>Dangerous. Violent. Rebellious.</t>
        </is>
      </c>
    </row>
    <row r="164">
      <c r="A164" s="21" t="inlineStr">
        <is>
          <t>Gang Colors Hats</t>
        </is>
      </c>
      <c r="B164" s="21" t="inlineStr">
        <is>
          <t>Мода</t>
        </is>
      </c>
      <c r="C164" s="21" t="inlineStr"/>
      <c r="D164" s="21" t="inlineStr"/>
      <c r="E164" s="21" t="inlineStr"/>
      <c r="F164" s="31" t="n"/>
      <c r="G164" s="31" t="n"/>
      <c r="H164" s="31" t="n"/>
      <c r="I164" s="31" t="n"/>
      <c r="J164" s="31" t="n">
        <v>0</v>
      </c>
      <c r="K164" s="31" t="n">
        <v>0</v>
      </c>
      <c r="L164" s="31" t="n">
        <v>0</v>
      </c>
      <c r="M164" s="31" t="n">
        <v>0</v>
      </c>
      <c r="N164" s="21" t="inlineStr"/>
      <c r="O164" s="21" t="inlineStr"/>
      <c r="P164" s="21" t="inlineStr"/>
      <c r="Q164" s="21" t="inlineStr"/>
      <c r="R164" s="40" t="n">
        <v>10</v>
      </c>
      <c r="S164" s="21" t="inlineStr">
        <is>
          <t>CP:R 356</t>
        </is>
      </c>
      <c r="T164" s="21" t="inlineStr">
        <is>
          <t>Dangerous. Violent. Rebellious.</t>
        </is>
      </c>
    </row>
    <row r="165">
      <c r="A165" s="21" t="inlineStr">
        <is>
          <t>Generic Chic Bottoms</t>
        </is>
      </c>
      <c r="B165" s="21" t="inlineStr">
        <is>
          <t>Мода</t>
        </is>
      </c>
      <c r="C165" s="21" t="inlineStr"/>
      <c r="D165" s="21" t="inlineStr"/>
      <c r="E165" s="21" t="inlineStr"/>
      <c r="F165" s="31" t="n"/>
      <c r="G165" s="31" t="n"/>
      <c r="H165" s="31" t="n"/>
      <c r="I165" s="31" t="n"/>
      <c r="J165" s="31" t="n">
        <v>0</v>
      </c>
      <c r="K165" s="31" t="n">
        <v>0</v>
      </c>
      <c r="L165" s="31" t="n">
        <v>0</v>
      </c>
      <c r="M165" s="31" t="n">
        <v>0</v>
      </c>
      <c r="N165" s="21" t="inlineStr"/>
      <c r="O165" s="21" t="inlineStr"/>
      <c r="P165" s="21" t="inlineStr"/>
      <c r="Q165" s="21" t="inlineStr"/>
      <c r="R165" s="40" t="n">
        <v>50</v>
      </c>
      <c r="S165" s="21" t="inlineStr">
        <is>
          <t>CP:R 356</t>
        </is>
      </c>
      <c r="T165" s="21" t="inlineStr">
        <is>
          <t>Standard. Colorful. Modular.</t>
        </is>
      </c>
    </row>
    <row r="166">
      <c r="A166" s="21" t="inlineStr">
        <is>
          <t>Generic Chic Top</t>
        </is>
      </c>
      <c r="B166" s="21" t="inlineStr">
        <is>
          <t>Мода</t>
        </is>
      </c>
      <c r="C166" s="21" t="inlineStr"/>
      <c r="D166" s="21" t="inlineStr"/>
      <c r="E166" s="21" t="inlineStr"/>
      <c r="F166" s="31" t="n"/>
      <c r="G166" s="31" t="n"/>
      <c r="H166" s="31" t="n"/>
      <c r="I166" s="31" t="n"/>
      <c r="J166" s="31" t="n">
        <v>0</v>
      </c>
      <c r="K166" s="31" t="n">
        <v>0</v>
      </c>
      <c r="L166" s="31" t="n">
        <v>0</v>
      </c>
      <c r="M166" s="31" t="n">
        <v>0</v>
      </c>
      <c r="N166" s="21" t="inlineStr"/>
      <c r="O166" s="21" t="inlineStr"/>
      <c r="P166" s="21" t="inlineStr"/>
      <c r="Q166" s="21" t="inlineStr"/>
      <c r="R166" s="40" t="n">
        <v>20</v>
      </c>
      <c r="S166" s="21" t="inlineStr">
        <is>
          <t>CP:R 356</t>
        </is>
      </c>
      <c r="T166" s="21" t="inlineStr">
        <is>
          <t>Standard. Colorful. Modular.</t>
        </is>
      </c>
    </row>
    <row r="167">
      <c r="A167" s="21" t="inlineStr">
        <is>
          <t>Generic Chic Jacket</t>
        </is>
      </c>
      <c r="B167" s="21" t="inlineStr">
        <is>
          <t>Мода</t>
        </is>
      </c>
      <c r="C167" s="21" t="inlineStr"/>
      <c r="D167" s="21" t="inlineStr"/>
      <c r="E167" s="21" t="inlineStr"/>
      <c r="F167" s="31" t="n"/>
      <c r="G167" s="31" t="n"/>
      <c r="H167" s="31" t="n"/>
      <c r="I167" s="31" t="n"/>
      <c r="J167" s="31" t="n">
        <v>0</v>
      </c>
      <c r="K167" s="31" t="n">
        <v>0</v>
      </c>
      <c r="L167" s="31" t="n">
        <v>0</v>
      </c>
      <c r="M167" s="31" t="n">
        <v>0</v>
      </c>
      <c r="N167" s="21" t="inlineStr"/>
      <c r="O167" s="21" t="inlineStr"/>
      <c r="P167" s="21" t="inlineStr"/>
      <c r="Q167" s="21" t="inlineStr"/>
      <c r="R167" s="40" t="n">
        <v>50</v>
      </c>
      <c r="S167" s="21" t="inlineStr">
        <is>
          <t>CP:R 356</t>
        </is>
      </c>
      <c r="T167" s="21" t="inlineStr">
        <is>
          <t>Standard. Colorful. Modular.</t>
        </is>
      </c>
    </row>
    <row r="168">
      <c r="A168" s="21" t="inlineStr">
        <is>
          <t>Generic Chic Footwear</t>
        </is>
      </c>
      <c r="B168" s="21" t="inlineStr">
        <is>
          <t>Мода</t>
        </is>
      </c>
      <c r="C168" s="21" t="inlineStr"/>
      <c r="D168" s="21" t="inlineStr"/>
      <c r="E168" s="21" t="inlineStr"/>
      <c r="F168" s="31" t="n"/>
      <c r="G168" s="31" t="n"/>
      <c r="H168" s="31" t="n"/>
      <c r="I168" s="31" t="n"/>
      <c r="J168" s="31" t="n">
        <v>0</v>
      </c>
      <c r="K168" s="31" t="n">
        <v>0</v>
      </c>
      <c r="L168" s="31" t="n">
        <v>0</v>
      </c>
      <c r="M168" s="31" t="n">
        <v>0</v>
      </c>
      <c r="N168" s="21" t="inlineStr"/>
      <c r="O168" s="21" t="inlineStr"/>
      <c r="P168" s="21" t="inlineStr"/>
      <c r="Q168" s="21" t="inlineStr"/>
      <c r="R168" s="40" t="n">
        <v>20</v>
      </c>
      <c r="S168" s="21" t="inlineStr">
        <is>
          <t>CP:R 356</t>
        </is>
      </c>
      <c r="T168" s="21" t="inlineStr">
        <is>
          <t>Standard. Colorful. Modular.</t>
        </is>
      </c>
    </row>
    <row r="169">
      <c r="A169" s="21" t="inlineStr">
        <is>
          <t>Generic Chic Jewelry</t>
        </is>
      </c>
      <c r="B169" s="21" t="inlineStr">
        <is>
          <t>Мода</t>
        </is>
      </c>
      <c r="C169" s="21" t="inlineStr"/>
      <c r="D169" s="21" t="inlineStr"/>
      <c r="E169" s="21" t="inlineStr"/>
      <c r="F169" s="31" t="n"/>
      <c r="G169" s="31" t="n"/>
      <c r="H169" s="31" t="n"/>
      <c r="I169" s="31" t="n"/>
      <c r="J169" s="31" t="n">
        <v>0</v>
      </c>
      <c r="K169" s="31" t="n">
        <v>0</v>
      </c>
      <c r="L169" s="31" t="n">
        <v>0</v>
      </c>
      <c r="M169" s="31" t="n">
        <v>0</v>
      </c>
      <c r="N169" s="21" t="inlineStr"/>
      <c r="O169" s="21" t="inlineStr"/>
      <c r="P169" s="21" t="inlineStr"/>
      <c r="Q169" s="21" t="inlineStr"/>
      <c r="R169" s="40" t="n">
        <v>50</v>
      </c>
      <c r="S169" s="21" t="inlineStr">
        <is>
          <t>CP:R 356</t>
        </is>
      </c>
      <c r="T169" s="21" t="inlineStr">
        <is>
          <t>Standard. Colorful. Modular.</t>
        </is>
      </c>
    </row>
    <row r="170">
      <c r="A170" s="21" t="inlineStr">
        <is>
          <t>Generic Chic Mirrorshades</t>
        </is>
      </c>
      <c r="B170" s="21" t="inlineStr">
        <is>
          <t>Мода</t>
        </is>
      </c>
      <c r="C170" s="21" t="inlineStr"/>
      <c r="D170" s="21" t="inlineStr"/>
      <c r="E170" s="21" t="inlineStr"/>
      <c r="F170" s="31" t="n"/>
      <c r="G170" s="31" t="n"/>
      <c r="H170" s="31" t="n"/>
      <c r="I170" s="31" t="n"/>
      <c r="J170" s="31" t="n">
        <v>0</v>
      </c>
      <c r="K170" s="31" t="n">
        <v>0</v>
      </c>
      <c r="L170" s="31" t="n">
        <v>0</v>
      </c>
      <c r="M170" s="31" t="n">
        <v>0</v>
      </c>
      <c r="N170" s="21" t="inlineStr"/>
      <c r="O170" s="21" t="inlineStr"/>
      <c r="P170" s="21" t="inlineStr"/>
      <c r="Q170" s="21" t="inlineStr"/>
      <c r="R170" s="40" t="n">
        <v>20</v>
      </c>
      <c r="S170" s="21" t="inlineStr">
        <is>
          <t>CP:R 356</t>
        </is>
      </c>
      <c r="T170" s="21" t="inlineStr">
        <is>
          <t>Standard. Colorful. Modular.</t>
        </is>
      </c>
    </row>
    <row r="171">
      <c r="A171" s="21" t="inlineStr">
        <is>
          <t>Generic Chic Glasses</t>
        </is>
      </c>
      <c r="B171" s="21" t="inlineStr">
        <is>
          <t>Мода</t>
        </is>
      </c>
      <c r="C171" s="21" t="inlineStr"/>
      <c r="D171" s="21" t="inlineStr"/>
      <c r="E171" s="21" t="inlineStr"/>
      <c r="F171" s="31" t="n"/>
      <c r="G171" s="31" t="n"/>
      <c r="H171" s="31" t="n"/>
      <c r="I171" s="31" t="n"/>
      <c r="J171" s="31" t="n">
        <v>0</v>
      </c>
      <c r="K171" s="31" t="n">
        <v>0</v>
      </c>
      <c r="L171" s="31" t="n">
        <v>0</v>
      </c>
      <c r="M171" s="31" t="n">
        <v>0</v>
      </c>
      <c r="N171" s="21" t="inlineStr"/>
      <c r="O171" s="21" t="inlineStr"/>
      <c r="P171" s="21" t="inlineStr"/>
      <c r="Q171" s="21" t="inlineStr"/>
      <c r="R171" s="40" t="n">
        <v>20</v>
      </c>
      <c r="S171" s="21" t="inlineStr">
        <is>
          <t>CP:R 356</t>
        </is>
      </c>
      <c r="T171" s="21" t="inlineStr">
        <is>
          <t>Standard. Colorful. Modular.</t>
        </is>
      </c>
    </row>
    <row r="172">
      <c r="A172" s="21" t="inlineStr">
        <is>
          <t>Generic Chic Contact Lenses</t>
        </is>
      </c>
      <c r="B172" s="21" t="inlineStr">
        <is>
          <t>Мода</t>
        </is>
      </c>
      <c r="C172" s="21" t="inlineStr"/>
      <c r="D172" s="21" t="inlineStr"/>
      <c r="E172" s="21" t="inlineStr"/>
      <c r="F172" s="31" t="n"/>
      <c r="G172" s="31" t="n"/>
      <c r="H172" s="31" t="n"/>
      <c r="I172" s="31" t="n"/>
      <c r="J172" s="31" t="n">
        <v>0</v>
      </c>
      <c r="K172" s="31" t="n">
        <v>0</v>
      </c>
      <c r="L172" s="31" t="n">
        <v>0</v>
      </c>
      <c r="M172" s="31" t="n">
        <v>0</v>
      </c>
      <c r="N172" s="21" t="inlineStr"/>
      <c r="O172" s="21" t="inlineStr"/>
      <c r="P172" s="21" t="inlineStr"/>
      <c r="Q172" s="21" t="inlineStr"/>
      <c r="R172" s="40" t="n">
        <v>10</v>
      </c>
      <c r="S172" s="21" t="inlineStr">
        <is>
          <t>CP:R 356</t>
        </is>
      </c>
      <c r="T172" s="21" t="inlineStr">
        <is>
          <t>Standard. Colorful. Modular.</t>
        </is>
      </c>
    </row>
    <row r="173">
      <c r="A173" s="21" t="inlineStr">
        <is>
          <t>Generic Chic Hats</t>
        </is>
      </c>
      <c r="B173" s="21" t="inlineStr">
        <is>
          <t>Мода</t>
        </is>
      </c>
      <c r="C173" s="21" t="inlineStr"/>
      <c r="D173" s="21" t="inlineStr"/>
      <c r="E173" s="21" t="inlineStr"/>
      <c r="F173" s="31" t="n"/>
      <c r="G173" s="31" t="n"/>
      <c r="H173" s="31" t="n"/>
      <c r="I173" s="31" t="n"/>
      <c r="J173" s="31" t="n">
        <v>0</v>
      </c>
      <c r="K173" s="31" t="n">
        <v>0</v>
      </c>
      <c r="L173" s="31" t="n">
        <v>0</v>
      </c>
      <c r="M173" s="31" t="n">
        <v>0</v>
      </c>
      <c r="N173" s="21" t="inlineStr"/>
      <c r="O173" s="21" t="inlineStr"/>
      <c r="P173" s="21" t="inlineStr"/>
      <c r="Q173" s="21" t="inlineStr"/>
      <c r="R173" s="40" t="n">
        <v>10</v>
      </c>
      <c r="S173" s="21" t="inlineStr">
        <is>
          <t>CP:R 356</t>
        </is>
      </c>
      <c r="T173" s="21" t="inlineStr">
        <is>
          <t>Standard. Colorful. Modular.</t>
        </is>
      </c>
    </row>
    <row r="174">
      <c r="A174" s="21" t="inlineStr">
        <is>
          <t>High Fashion Bottoms</t>
        </is>
      </c>
      <c r="B174" s="21" t="inlineStr">
        <is>
          <t>Мода</t>
        </is>
      </c>
      <c r="C174" s="21" t="inlineStr"/>
      <c r="D174" s="21" t="inlineStr"/>
      <c r="E174" s="21" t="inlineStr"/>
      <c r="F174" s="31" t="n"/>
      <c r="G174" s="31" t="n"/>
      <c r="H174" s="31" t="n"/>
      <c r="I174" s="31" t="n"/>
      <c r="J174" s="31" t="n">
        <v>0</v>
      </c>
      <c r="K174" s="31" t="n">
        <v>0</v>
      </c>
      <c r="L174" s="31" t="n">
        <v>0</v>
      </c>
      <c r="M174" s="31" t="n">
        <v>0</v>
      </c>
      <c r="N174" s="21" t="inlineStr"/>
      <c r="O174" s="21" t="inlineStr"/>
      <c r="P174" s="21" t="inlineStr"/>
      <c r="Q174" s="21" t="inlineStr"/>
      <c r="R174" s="40" t="n">
        <v>1000</v>
      </c>
      <c r="S174" s="21" t="inlineStr">
        <is>
          <t>CP:R 356</t>
        </is>
      </c>
      <c r="T174" s="21" t="inlineStr">
        <is>
          <t>Exclusive. Designer. Couture.</t>
        </is>
      </c>
    </row>
    <row r="175">
      <c r="A175" s="21" t="inlineStr">
        <is>
          <t>High Fashion Top</t>
        </is>
      </c>
      <c r="B175" s="21" t="inlineStr">
        <is>
          <t>Мода</t>
        </is>
      </c>
      <c r="C175" s="21" t="inlineStr"/>
      <c r="D175" s="21" t="inlineStr"/>
      <c r="E175" s="21" t="inlineStr"/>
      <c r="F175" s="31" t="n"/>
      <c r="G175" s="31" t="n"/>
      <c r="H175" s="31" t="n"/>
      <c r="I175" s="31" t="n"/>
      <c r="J175" s="31" t="n">
        <v>0</v>
      </c>
      <c r="K175" s="31" t="n">
        <v>0</v>
      </c>
      <c r="L175" s="31" t="n">
        <v>0</v>
      </c>
      <c r="M175" s="31" t="n">
        <v>0</v>
      </c>
      <c r="N175" s="21" t="inlineStr"/>
      <c r="O175" s="21" t="inlineStr"/>
      <c r="P175" s="21" t="inlineStr"/>
      <c r="Q175" s="21" t="inlineStr"/>
      <c r="R175" s="40" t="n">
        <v>500</v>
      </c>
      <c r="S175" s="21" t="inlineStr">
        <is>
          <t>CP:R 356</t>
        </is>
      </c>
      <c r="T175" s="21" t="inlineStr">
        <is>
          <t>Exclusive. Designer. Couture.</t>
        </is>
      </c>
    </row>
    <row r="176">
      <c r="A176" s="21" t="inlineStr">
        <is>
          <t>High Fashion Jacket</t>
        </is>
      </c>
      <c r="B176" s="21" t="inlineStr">
        <is>
          <t>Мода</t>
        </is>
      </c>
      <c r="C176" s="21" t="inlineStr"/>
      <c r="D176" s="21" t="inlineStr"/>
      <c r="E176" s="21" t="inlineStr"/>
      <c r="F176" s="31" t="n"/>
      <c r="G176" s="31" t="n"/>
      <c r="H176" s="31" t="n"/>
      <c r="I176" s="31" t="n"/>
      <c r="J176" s="31" t="n">
        <v>0</v>
      </c>
      <c r="K176" s="31" t="n">
        <v>0</v>
      </c>
      <c r="L176" s="31" t="n">
        <v>0</v>
      </c>
      <c r="M176" s="31" t="n">
        <v>0</v>
      </c>
      <c r="N176" s="21" t="inlineStr"/>
      <c r="O176" s="21" t="inlineStr"/>
      <c r="P176" s="21" t="inlineStr"/>
      <c r="Q176" s="21" t="inlineStr"/>
      <c r="R176" s="40" t="n">
        <v>1000</v>
      </c>
      <c r="S176" s="21" t="inlineStr">
        <is>
          <t>CP:R 356</t>
        </is>
      </c>
      <c r="T176" s="21" t="inlineStr">
        <is>
          <t>Exclusive. Designer. Couture.</t>
        </is>
      </c>
    </row>
    <row r="177">
      <c r="A177" s="21" t="inlineStr">
        <is>
          <t>High Fashion Footwear</t>
        </is>
      </c>
      <c r="B177" s="21" t="inlineStr">
        <is>
          <t>Мода</t>
        </is>
      </c>
      <c r="C177" s="21" t="inlineStr"/>
      <c r="D177" s="21" t="inlineStr"/>
      <c r="E177" s="21" t="inlineStr"/>
      <c r="F177" s="31" t="n"/>
      <c r="G177" s="31" t="n"/>
      <c r="H177" s="31" t="n"/>
      <c r="I177" s="31" t="n"/>
      <c r="J177" s="31" t="n">
        <v>0</v>
      </c>
      <c r="K177" s="31" t="n">
        <v>0</v>
      </c>
      <c r="L177" s="31" t="n">
        <v>0</v>
      </c>
      <c r="M177" s="31" t="n">
        <v>0</v>
      </c>
      <c r="N177" s="21" t="inlineStr"/>
      <c r="O177" s="21" t="inlineStr"/>
      <c r="P177" s="21" t="inlineStr"/>
      <c r="Q177" s="21" t="inlineStr"/>
      <c r="R177" s="40" t="n">
        <v>5000</v>
      </c>
      <c r="S177" s="21" t="inlineStr">
        <is>
          <t>CP:R 356</t>
        </is>
      </c>
      <c r="T177" s="21" t="inlineStr">
        <is>
          <t>Exclusive. Designer. Couture.</t>
        </is>
      </c>
    </row>
    <row r="178">
      <c r="A178" s="21" t="inlineStr">
        <is>
          <t>High Fashion Jewelry</t>
        </is>
      </c>
      <c r="B178" s="21" t="inlineStr">
        <is>
          <t>Мода</t>
        </is>
      </c>
      <c r="C178" s="21" t="inlineStr"/>
      <c r="D178" s="21" t="inlineStr"/>
      <c r="E178" s="21" t="inlineStr"/>
      <c r="F178" s="31" t="n"/>
      <c r="G178" s="31" t="n"/>
      <c r="H178" s="31" t="n"/>
      <c r="I178" s="31" t="n"/>
      <c r="J178" s="31" t="n">
        <v>0</v>
      </c>
      <c r="K178" s="31" t="n">
        <v>0</v>
      </c>
      <c r="L178" s="31" t="n">
        <v>0</v>
      </c>
      <c r="M178" s="31" t="n">
        <v>0</v>
      </c>
      <c r="N178" s="21" t="inlineStr"/>
      <c r="O178" s="21" t="inlineStr"/>
      <c r="P178" s="21" t="inlineStr"/>
      <c r="Q178" s="21" t="inlineStr"/>
      <c r="R178" s="40" t="n">
        <v>5000</v>
      </c>
      <c r="S178" s="21" t="inlineStr">
        <is>
          <t>CP:R 356</t>
        </is>
      </c>
      <c r="T178" s="21" t="inlineStr">
        <is>
          <t>Exclusive. Designer. Couture.</t>
        </is>
      </c>
    </row>
    <row r="179">
      <c r="A179" s="21" t="inlineStr">
        <is>
          <t>High Fashion Mirrorshades</t>
        </is>
      </c>
      <c r="B179" s="21" t="inlineStr">
        <is>
          <t>Мода</t>
        </is>
      </c>
      <c r="C179" s="21" t="inlineStr"/>
      <c r="D179" s="21" t="inlineStr"/>
      <c r="E179" s="21" t="inlineStr"/>
      <c r="F179" s="31" t="n"/>
      <c r="G179" s="31" t="n"/>
      <c r="H179" s="31" t="n"/>
      <c r="I179" s="31" t="n"/>
      <c r="J179" s="31" t="n">
        <v>0</v>
      </c>
      <c r="K179" s="31" t="n">
        <v>0</v>
      </c>
      <c r="L179" s="31" t="n">
        <v>0</v>
      </c>
      <c r="M179" s="31" t="n">
        <v>0</v>
      </c>
      <c r="N179" s="21" t="inlineStr"/>
      <c r="O179" s="21" t="inlineStr"/>
      <c r="P179" s="21" t="inlineStr"/>
      <c r="Q179" s="21" t="inlineStr"/>
      <c r="R179" s="40" t="n">
        <v>1000</v>
      </c>
      <c r="S179" s="21" t="inlineStr">
        <is>
          <t>CP:R 356</t>
        </is>
      </c>
      <c r="T179" s="21" t="inlineStr">
        <is>
          <t>Exclusive. Designer. Couture.</t>
        </is>
      </c>
    </row>
    <row r="180">
      <c r="A180" s="21" t="inlineStr">
        <is>
          <t>High Fashion Glasses</t>
        </is>
      </c>
      <c r="B180" s="21" t="inlineStr">
        <is>
          <t>Мода</t>
        </is>
      </c>
      <c r="C180" s="21" t="inlineStr"/>
      <c r="D180" s="21" t="inlineStr"/>
      <c r="E180" s="21" t="inlineStr"/>
      <c r="F180" s="31" t="n"/>
      <c r="G180" s="31" t="n"/>
      <c r="H180" s="31" t="n"/>
      <c r="I180" s="31" t="n"/>
      <c r="J180" s="31" t="n">
        <v>0</v>
      </c>
      <c r="K180" s="31" t="n">
        <v>0</v>
      </c>
      <c r="L180" s="31" t="n">
        <v>0</v>
      </c>
      <c r="M180" s="31" t="n">
        <v>0</v>
      </c>
      <c r="N180" s="21" t="inlineStr"/>
      <c r="O180" s="21" t="inlineStr"/>
      <c r="P180" s="21" t="inlineStr"/>
      <c r="Q180" s="21" t="inlineStr"/>
      <c r="R180" s="40" t="n">
        <v>1000</v>
      </c>
      <c r="S180" s="21" t="inlineStr">
        <is>
          <t>CP:R 356</t>
        </is>
      </c>
      <c r="T180" s="21" t="inlineStr">
        <is>
          <t>Exclusive. Designer. Couture.</t>
        </is>
      </c>
    </row>
    <row r="181">
      <c r="A181" s="21" t="inlineStr">
        <is>
          <t>High Fashion Contact Lenses</t>
        </is>
      </c>
      <c r="B181" s="21" t="inlineStr">
        <is>
          <t>Мода</t>
        </is>
      </c>
      <c r="C181" s="21" t="inlineStr"/>
      <c r="D181" s="21" t="inlineStr"/>
      <c r="E181" s="21" t="inlineStr"/>
      <c r="F181" s="31" t="n"/>
      <c r="G181" s="31" t="n"/>
      <c r="H181" s="31" t="n"/>
      <c r="I181" s="31" t="n"/>
      <c r="J181" s="31" t="n">
        <v>0</v>
      </c>
      <c r="K181" s="31" t="n">
        <v>0</v>
      </c>
      <c r="L181" s="31" t="n">
        <v>0</v>
      </c>
      <c r="M181" s="31" t="n">
        <v>0</v>
      </c>
      <c r="N181" s="21" t="inlineStr"/>
      <c r="O181" s="21" t="inlineStr"/>
      <c r="P181" s="21" t="inlineStr"/>
      <c r="Q181" s="21" t="inlineStr"/>
      <c r="R181" s="40" t="n">
        <v>1000</v>
      </c>
      <c r="S181" s="21" t="inlineStr">
        <is>
          <t>CP:R 356</t>
        </is>
      </c>
      <c r="T181" s="21" t="inlineStr">
        <is>
          <t>Exclusive. Designer. Couture.</t>
        </is>
      </c>
    </row>
    <row r="182">
      <c r="A182" s="21" t="inlineStr">
        <is>
          <t>High Fashion Hats</t>
        </is>
      </c>
      <c r="B182" s="21" t="inlineStr">
        <is>
          <t>Мода</t>
        </is>
      </c>
      <c r="C182" s="21" t="inlineStr"/>
      <c r="D182" s="21" t="inlineStr"/>
      <c r="E182" s="21" t="inlineStr"/>
      <c r="F182" s="31" t="n"/>
      <c r="G182" s="31" t="n"/>
      <c r="H182" s="31" t="n"/>
      <c r="I182" s="31" t="n"/>
      <c r="J182" s="31" t="n">
        <v>0</v>
      </c>
      <c r="K182" s="31" t="n">
        <v>0</v>
      </c>
      <c r="L182" s="31" t="n">
        <v>0</v>
      </c>
      <c r="M182" s="31" t="n">
        <v>0</v>
      </c>
      <c r="N182" s="21" t="inlineStr"/>
      <c r="O182" s="21" t="inlineStr"/>
      <c r="P182" s="21" t="inlineStr"/>
      <c r="Q182" s="21" t="inlineStr"/>
      <c r="R182" s="40" t="n">
        <v>5000</v>
      </c>
      <c r="S182" s="21" t="inlineStr">
        <is>
          <t>CP:R 356</t>
        </is>
      </c>
      <c r="T182" s="21" t="inlineStr">
        <is>
          <t>Exclusive. Designer. Couture.</t>
        </is>
      </c>
    </row>
    <row r="183">
      <c r="A183" s="21" t="inlineStr">
        <is>
          <t>Leisurewear Bottoms</t>
        </is>
      </c>
      <c r="B183" s="21" t="inlineStr">
        <is>
          <t>Мода</t>
        </is>
      </c>
      <c r="C183" s="21" t="inlineStr"/>
      <c r="D183" s="21" t="inlineStr"/>
      <c r="E183" s="21" t="inlineStr"/>
      <c r="F183" s="31" t="n"/>
      <c r="G183" s="31" t="n"/>
      <c r="H183" s="31" t="n"/>
      <c r="I183" s="31" t="n"/>
      <c r="J183" s="31" t="n">
        <v>0</v>
      </c>
      <c r="K183" s="31" t="n">
        <v>0</v>
      </c>
      <c r="L183" s="31" t="n">
        <v>0</v>
      </c>
      <c r="M183" s="31" t="n">
        <v>0</v>
      </c>
      <c r="N183" s="21" t="inlineStr"/>
      <c r="O183" s="21" t="inlineStr"/>
      <c r="P183" s="21" t="inlineStr"/>
      <c r="Q183" s="21" t="inlineStr"/>
      <c r="R183" s="40" t="n">
        <v>100</v>
      </c>
      <c r="S183" s="21" t="inlineStr">
        <is>
          <t>CP:R 356</t>
        </is>
      </c>
      <c r="T183" s="21" t="inlineStr">
        <is>
          <t>Comfort. Agility. Athleticism.</t>
        </is>
      </c>
    </row>
    <row r="184">
      <c r="A184" s="21" t="inlineStr">
        <is>
          <t>Leisurewear Top</t>
        </is>
      </c>
      <c r="B184" s="21" t="inlineStr">
        <is>
          <t>Мода</t>
        </is>
      </c>
      <c r="C184" s="21" t="inlineStr"/>
      <c r="D184" s="21" t="inlineStr"/>
      <c r="E184" s="21" t="inlineStr"/>
      <c r="F184" s="31" t="n"/>
      <c r="G184" s="31" t="n"/>
      <c r="H184" s="31" t="n"/>
      <c r="I184" s="31" t="n"/>
      <c r="J184" s="31" t="n">
        <v>0</v>
      </c>
      <c r="K184" s="31" t="n">
        <v>0</v>
      </c>
      <c r="L184" s="31" t="n">
        <v>0</v>
      </c>
      <c r="M184" s="31" t="n">
        <v>0</v>
      </c>
      <c r="N184" s="21" t="inlineStr"/>
      <c r="O184" s="21" t="inlineStr"/>
      <c r="P184" s="21" t="inlineStr"/>
      <c r="Q184" s="21" t="inlineStr"/>
      <c r="R184" s="40" t="n">
        <v>20</v>
      </c>
      <c r="S184" s="21" t="inlineStr">
        <is>
          <t>CP:R 356</t>
        </is>
      </c>
      <c r="T184" s="21" t="inlineStr">
        <is>
          <t>Comfort. Agility. Athleticism.</t>
        </is>
      </c>
    </row>
    <row r="185">
      <c r="A185" s="21" t="inlineStr">
        <is>
          <t>Leisurewear Jacket</t>
        </is>
      </c>
      <c r="B185" s="21" t="inlineStr">
        <is>
          <t>Мода</t>
        </is>
      </c>
      <c r="C185" s="21" t="inlineStr"/>
      <c r="D185" s="21" t="inlineStr"/>
      <c r="E185" s="21" t="inlineStr"/>
      <c r="F185" s="31" t="n"/>
      <c r="G185" s="31" t="n"/>
      <c r="H185" s="31" t="n"/>
      <c r="I185" s="31" t="n"/>
      <c r="J185" s="31" t="n">
        <v>0</v>
      </c>
      <c r="K185" s="31" t="n">
        <v>0</v>
      </c>
      <c r="L185" s="31" t="n">
        <v>0</v>
      </c>
      <c r="M185" s="31" t="n">
        <v>0</v>
      </c>
      <c r="N185" s="21" t="inlineStr"/>
      <c r="O185" s="21" t="inlineStr"/>
      <c r="P185" s="21" t="inlineStr"/>
      <c r="Q185" s="21" t="inlineStr"/>
      <c r="R185" s="40" t="n">
        <v>100</v>
      </c>
      <c r="S185" s="21" t="inlineStr">
        <is>
          <t>CP:R 356</t>
        </is>
      </c>
      <c r="T185" s="21" t="inlineStr">
        <is>
          <t>Comfort. Agility. Athleticism.</t>
        </is>
      </c>
    </row>
    <row r="186">
      <c r="A186" s="21" t="inlineStr">
        <is>
          <t>Leisurewear Footwear</t>
        </is>
      </c>
      <c r="B186" s="21" t="inlineStr">
        <is>
          <t>Мода</t>
        </is>
      </c>
      <c r="C186" s="21" t="inlineStr"/>
      <c r="D186" s="21" t="inlineStr"/>
      <c r="E186" s="21" t="inlineStr"/>
      <c r="F186" s="31" t="n"/>
      <c r="G186" s="31" t="n"/>
      <c r="H186" s="31" t="n"/>
      <c r="I186" s="31" t="n"/>
      <c r="J186" s="31" t="n">
        <v>0</v>
      </c>
      <c r="K186" s="31" t="n">
        <v>0</v>
      </c>
      <c r="L186" s="31" t="n">
        <v>0</v>
      </c>
      <c r="M186" s="31" t="n">
        <v>0</v>
      </c>
      <c r="N186" s="21" t="inlineStr"/>
      <c r="O186" s="21" t="inlineStr"/>
      <c r="P186" s="21" t="inlineStr"/>
      <c r="Q186" s="21" t="inlineStr"/>
      <c r="R186" s="40" t="n">
        <v>50</v>
      </c>
      <c r="S186" s="21" t="inlineStr">
        <is>
          <t>CP:R 356</t>
        </is>
      </c>
      <c r="T186" s="21" t="inlineStr">
        <is>
          <t>Comfort. Agility. Athleticism.</t>
        </is>
      </c>
    </row>
    <row r="187">
      <c r="A187" s="21" t="inlineStr">
        <is>
          <t>Leisurewear Jewelry</t>
        </is>
      </c>
      <c r="B187" s="21" t="inlineStr">
        <is>
          <t>Мода</t>
        </is>
      </c>
      <c r="C187" s="21" t="inlineStr"/>
      <c r="D187" s="21" t="inlineStr"/>
      <c r="E187" s="21" t="inlineStr"/>
      <c r="F187" s="31" t="n"/>
      <c r="G187" s="31" t="n"/>
      <c r="H187" s="31" t="n"/>
      <c r="I187" s="31" t="n"/>
      <c r="J187" s="31" t="n">
        <v>0</v>
      </c>
      <c r="K187" s="31" t="n">
        <v>0</v>
      </c>
      <c r="L187" s="31" t="n">
        <v>0</v>
      </c>
      <c r="M187" s="31" t="n">
        <v>0</v>
      </c>
      <c r="N187" s="21" t="inlineStr"/>
      <c r="O187" s="21" t="inlineStr"/>
      <c r="P187" s="21" t="inlineStr"/>
      <c r="Q187" s="21" t="inlineStr"/>
      <c r="R187" s="40" t="n">
        <v>100</v>
      </c>
      <c r="S187" s="21" t="inlineStr">
        <is>
          <t>CP:R 356</t>
        </is>
      </c>
      <c r="T187" s="21" t="inlineStr">
        <is>
          <t>Comfort. Agility. Athleticism.</t>
        </is>
      </c>
    </row>
    <row r="188">
      <c r="A188" s="21" t="inlineStr">
        <is>
          <t>Leisurewear Mirrorshades</t>
        </is>
      </c>
      <c r="B188" s="21" t="inlineStr">
        <is>
          <t>Мода</t>
        </is>
      </c>
      <c r="C188" s="21" t="inlineStr"/>
      <c r="D188" s="21" t="inlineStr"/>
      <c r="E188" s="21" t="inlineStr"/>
      <c r="F188" s="31" t="n"/>
      <c r="G188" s="31" t="n"/>
      <c r="H188" s="31" t="n"/>
      <c r="I188" s="31" t="n"/>
      <c r="J188" s="31" t="n">
        <v>0</v>
      </c>
      <c r="K188" s="31" t="n">
        <v>0</v>
      </c>
      <c r="L188" s="31" t="n">
        <v>0</v>
      </c>
      <c r="M188" s="31" t="n">
        <v>0</v>
      </c>
      <c r="N188" s="21" t="inlineStr"/>
      <c r="O188" s="21" t="inlineStr"/>
      <c r="P188" s="21" t="inlineStr"/>
      <c r="Q188" s="21" t="inlineStr"/>
      <c r="R188" s="40" t="n">
        <v>50</v>
      </c>
      <c r="S188" s="21" t="inlineStr">
        <is>
          <t>CP:R 356</t>
        </is>
      </c>
      <c r="T188" s="21" t="inlineStr">
        <is>
          <t>Comfort. Agility. Athleticism.</t>
        </is>
      </c>
    </row>
    <row r="189">
      <c r="A189" s="21" t="inlineStr">
        <is>
          <t>Leisurewear Glasses</t>
        </is>
      </c>
      <c r="B189" s="21" t="inlineStr">
        <is>
          <t>Мода</t>
        </is>
      </c>
      <c r="C189" s="21" t="inlineStr"/>
      <c r="D189" s="21" t="inlineStr"/>
      <c r="E189" s="21" t="inlineStr"/>
      <c r="F189" s="31" t="n"/>
      <c r="G189" s="31" t="n"/>
      <c r="H189" s="31" t="n"/>
      <c r="I189" s="31" t="n"/>
      <c r="J189" s="31" t="n">
        <v>0</v>
      </c>
      <c r="K189" s="31" t="n">
        <v>0</v>
      </c>
      <c r="L189" s="31" t="n">
        <v>0</v>
      </c>
      <c r="M189" s="31" t="n">
        <v>0</v>
      </c>
      <c r="N189" s="21" t="inlineStr"/>
      <c r="O189" s="21" t="inlineStr"/>
      <c r="P189" s="21" t="inlineStr"/>
      <c r="Q189" s="21" t="inlineStr"/>
      <c r="R189" s="40" t="n">
        <v>50</v>
      </c>
      <c r="S189" s="21" t="inlineStr">
        <is>
          <t>CP:R 356</t>
        </is>
      </c>
      <c r="T189" s="21" t="inlineStr">
        <is>
          <t>Comfort. Agility. Athleticism.</t>
        </is>
      </c>
    </row>
    <row r="190">
      <c r="A190" s="21" t="inlineStr">
        <is>
          <t>Leisurewear Contact Lenses</t>
        </is>
      </c>
      <c r="B190" s="21" t="inlineStr">
        <is>
          <t>Мода</t>
        </is>
      </c>
      <c r="C190" s="21" t="inlineStr"/>
      <c r="D190" s="21" t="inlineStr"/>
      <c r="E190" s="21" t="inlineStr"/>
      <c r="F190" s="31" t="n"/>
      <c r="G190" s="31" t="n"/>
      <c r="H190" s="31" t="n"/>
      <c r="I190" s="31" t="n"/>
      <c r="J190" s="31" t="n">
        <v>0</v>
      </c>
      <c r="K190" s="31" t="n">
        <v>0</v>
      </c>
      <c r="L190" s="31" t="n">
        <v>0</v>
      </c>
      <c r="M190" s="31" t="n">
        <v>0</v>
      </c>
      <c r="N190" s="21" t="inlineStr"/>
      <c r="O190" s="21" t="inlineStr"/>
      <c r="P190" s="21" t="inlineStr"/>
      <c r="Q190" s="21" t="inlineStr"/>
      <c r="R190" s="40" t="n">
        <v>20</v>
      </c>
      <c r="S190" s="21" t="inlineStr">
        <is>
          <t>CP:R 356</t>
        </is>
      </c>
      <c r="T190" s="21" t="inlineStr">
        <is>
          <t>Comfort. Agility. Athleticism.</t>
        </is>
      </c>
    </row>
    <row r="191">
      <c r="A191" s="21" t="inlineStr">
        <is>
          <t>Leisurewear Hats</t>
        </is>
      </c>
      <c r="B191" s="21" t="inlineStr">
        <is>
          <t>Мода</t>
        </is>
      </c>
      <c r="C191" s="21" t="inlineStr"/>
      <c r="D191" s="21" t="inlineStr"/>
      <c r="E191" s="21" t="inlineStr"/>
      <c r="F191" s="31" t="n"/>
      <c r="G191" s="31" t="n"/>
      <c r="H191" s="31" t="n"/>
      <c r="I191" s="31" t="n"/>
      <c r="J191" s="31" t="n">
        <v>0</v>
      </c>
      <c r="K191" s="31" t="n">
        <v>0</v>
      </c>
      <c r="L191" s="31" t="n">
        <v>0</v>
      </c>
      <c r="M191" s="31" t="n">
        <v>0</v>
      </c>
      <c r="N191" s="21" t="inlineStr"/>
      <c r="O191" s="21" t="inlineStr"/>
      <c r="P191" s="21" t="inlineStr"/>
      <c r="Q191" s="21" t="inlineStr"/>
      <c r="R191" s="40" t="n">
        <v>50</v>
      </c>
      <c r="S191" s="21" t="inlineStr">
        <is>
          <t>CP:R 356</t>
        </is>
      </c>
      <c r="T191" s="21" t="inlineStr">
        <is>
          <t>Comfort. Agility. Athleticism.</t>
        </is>
      </c>
    </row>
    <row r="192">
      <c r="A192" s="21" t="inlineStr">
        <is>
          <t>Nomad Leathers Bottoms</t>
        </is>
      </c>
      <c r="B192" s="21" t="inlineStr">
        <is>
          <t>Мода</t>
        </is>
      </c>
      <c r="C192" s="21" t="inlineStr"/>
      <c r="D192" s="21" t="inlineStr"/>
      <c r="E192" s="21" t="inlineStr"/>
      <c r="F192" s="31" t="n"/>
      <c r="G192" s="31" t="n"/>
      <c r="H192" s="31" t="n"/>
      <c r="I192" s="31" t="n"/>
      <c r="J192" s="31" t="n">
        <v>0</v>
      </c>
      <c r="K192" s="31" t="n">
        <v>0</v>
      </c>
      <c r="L192" s="31" t="n">
        <v>0</v>
      </c>
      <c r="M192" s="31" t="n">
        <v>0</v>
      </c>
      <c r="N192" s="21" t="inlineStr"/>
      <c r="O192" s="21" t="inlineStr"/>
      <c r="P192" s="21" t="inlineStr"/>
      <c r="Q192" s="21" t="inlineStr"/>
      <c r="R192" s="40" t="n">
        <v>100</v>
      </c>
      <c r="S192" s="21" t="inlineStr">
        <is>
          <t>CP:R 356</t>
        </is>
      </c>
      <c r="T192" s="21" t="inlineStr">
        <is>
          <t>Western. Rugged. Tribal.</t>
        </is>
      </c>
    </row>
    <row r="193">
      <c r="A193" s="21" t="inlineStr">
        <is>
          <t>Nomad Leathers Top</t>
        </is>
      </c>
      <c r="B193" s="21" t="inlineStr">
        <is>
          <t>Мода</t>
        </is>
      </c>
      <c r="C193" s="21" t="inlineStr"/>
      <c r="D193" s="21" t="inlineStr"/>
      <c r="E193" s="21" t="inlineStr"/>
      <c r="F193" s="31" t="n"/>
      <c r="G193" s="31" t="n"/>
      <c r="H193" s="31" t="n"/>
      <c r="I193" s="31" t="n"/>
      <c r="J193" s="31" t="n">
        <v>0</v>
      </c>
      <c r="K193" s="31" t="n">
        <v>0</v>
      </c>
      <c r="L193" s="31" t="n">
        <v>0</v>
      </c>
      <c r="M193" s="31" t="n">
        <v>0</v>
      </c>
      <c r="N193" s="21" t="inlineStr"/>
      <c r="O193" s="21" t="inlineStr"/>
      <c r="P193" s="21" t="inlineStr"/>
      <c r="Q193" s="21" t="inlineStr"/>
      <c r="R193" s="40" t="n">
        <v>20</v>
      </c>
      <c r="S193" s="21" t="inlineStr">
        <is>
          <t>CP:R 356</t>
        </is>
      </c>
      <c r="T193" s="21" t="inlineStr">
        <is>
          <t>Western. Rugged. Tribal.</t>
        </is>
      </c>
    </row>
    <row r="194">
      <c r="A194" s="21" t="inlineStr">
        <is>
          <t>Nomad Leathers Jacket</t>
        </is>
      </c>
      <c r="B194" s="21" t="inlineStr">
        <is>
          <t>Мода</t>
        </is>
      </c>
      <c r="C194" s="21" t="inlineStr"/>
      <c r="D194" s="21" t="inlineStr"/>
      <c r="E194" s="21" t="inlineStr"/>
      <c r="F194" s="31" t="n"/>
      <c r="G194" s="31" t="n"/>
      <c r="H194" s="31" t="n"/>
      <c r="I194" s="31" t="n"/>
      <c r="J194" s="31" t="n">
        <v>0</v>
      </c>
      <c r="K194" s="31" t="n">
        <v>0</v>
      </c>
      <c r="L194" s="31" t="n">
        <v>0</v>
      </c>
      <c r="M194" s="31" t="n">
        <v>0</v>
      </c>
      <c r="N194" s="21" t="inlineStr"/>
      <c r="O194" s="21" t="inlineStr"/>
      <c r="P194" s="21" t="inlineStr"/>
      <c r="Q194" s="21" t="inlineStr"/>
      <c r="R194" s="40" t="n">
        <v>100</v>
      </c>
      <c r="S194" s="21" t="inlineStr">
        <is>
          <t>CP:R 356</t>
        </is>
      </c>
      <c r="T194" s="21" t="inlineStr">
        <is>
          <t>Western. Rugged. Tribal.</t>
        </is>
      </c>
    </row>
    <row r="195">
      <c r="A195" s="21" t="inlineStr">
        <is>
          <t>Nomad Leathers Footwear</t>
        </is>
      </c>
      <c r="B195" s="21" t="inlineStr">
        <is>
          <t>Мода</t>
        </is>
      </c>
      <c r="C195" s="21" t="inlineStr"/>
      <c r="D195" s="21" t="inlineStr"/>
      <c r="E195" s="21" t="inlineStr"/>
      <c r="F195" s="31" t="n"/>
      <c r="G195" s="31" t="n"/>
      <c r="H195" s="31" t="n"/>
      <c r="I195" s="31" t="n"/>
      <c r="J195" s="31" t="n">
        <v>0</v>
      </c>
      <c r="K195" s="31" t="n">
        <v>0</v>
      </c>
      <c r="L195" s="31" t="n">
        <v>0</v>
      </c>
      <c r="M195" s="31" t="n">
        <v>0</v>
      </c>
      <c r="N195" s="21" t="inlineStr"/>
      <c r="O195" s="21" t="inlineStr"/>
      <c r="P195" s="21" t="inlineStr"/>
      <c r="Q195" s="21" t="inlineStr"/>
      <c r="R195" s="40" t="n">
        <v>100</v>
      </c>
      <c r="S195" s="21" t="inlineStr">
        <is>
          <t>CP:R 356</t>
        </is>
      </c>
      <c r="T195" s="21" t="inlineStr">
        <is>
          <t>Western. Rugged. Tribal.</t>
        </is>
      </c>
    </row>
    <row r="196">
      <c r="A196" s="21" t="inlineStr">
        <is>
          <t>Nomad Leathers Jewelry</t>
        </is>
      </c>
      <c r="B196" s="21" t="inlineStr">
        <is>
          <t>Мода</t>
        </is>
      </c>
      <c r="C196" s="21" t="inlineStr"/>
      <c r="D196" s="21" t="inlineStr"/>
      <c r="E196" s="21" t="inlineStr"/>
      <c r="F196" s="31" t="n"/>
      <c r="G196" s="31" t="n"/>
      <c r="H196" s="31" t="n"/>
      <c r="I196" s="31" t="n"/>
      <c r="J196" s="31" t="n">
        <v>0</v>
      </c>
      <c r="K196" s="31" t="n">
        <v>0</v>
      </c>
      <c r="L196" s="31" t="n">
        <v>0</v>
      </c>
      <c r="M196" s="31" t="n">
        <v>0</v>
      </c>
      <c r="N196" s="21" t="inlineStr"/>
      <c r="O196" s="21" t="inlineStr"/>
      <c r="P196" s="21" t="inlineStr"/>
      <c r="Q196" s="21" t="inlineStr"/>
      <c r="R196" s="40" t="n">
        <v>100</v>
      </c>
      <c r="S196" s="21" t="inlineStr">
        <is>
          <t>CP:R 356</t>
        </is>
      </c>
      <c r="T196" s="21" t="inlineStr">
        <is>
          <t>Western. Rugged. Tribal.</t>
        </is>
      </c>
    </row>
    <row r="197">
      <c r="A197" s="21" t="inlineStr">
        <is>
          <t>Nomad Leathers Mirrorshades</t>
        </is>
      </c>
      <c r="B197" s="21" t="inlineStr">
        <is>
          <t>Мода</t>
        </is>
      </c>
      <c r="C197" s="21" t="inlineStr"/>
      <c r="D197" s="21" t="inlineStr"/>
      <c r="E197" s="21" t="inlineStr"/>
      <c r="F197" s="31" t="n"/>
      <c r="G197" s="31" t="n"/>
      <c r="H197" s="31" t="n"/>
      <c r="I197" s="31" t="n"/>
      <c r="J197" s="31" t="n">
        <v>0</v>
      </c>
      <c r="K197" s="31" t="n">
        <v>0</v>
      </c>
      <c r="L197" s="31" t="n">
        <v>0</v>
      </c>
      <c r="M197" s="31" t="n">
        <v>0</v>
      </c>
      <c r="N197" s="21" t="inlineStr"/>
      <c r="O197" s="21" t="inlineStr"/>
      <c r="P197" s="21" t="inlineStr"/>
      <c r="Q197" s="21" t="inlineStr"/>
      <c r="R197" s="40" t="n">
        <v>50</v>
      </c>
      <c r="S197" s="21" t="inlineStr">
        <is>
          <t>CP:R 356</t>
        </is>
      </c>
      <c r="T197" s="21" t="inlineStr">
        <is>
          <t>Western. Rugged. Tribal.</t>
        </is>
      </c>
    </row>
    <row r="198">
      <c r="A198" s="21" t="inlineStr">
        <is>
          <t>Nomad Leathers Glasses</t>
        </is>
      </c>
      <c r="B198" s="21" t="inlineStr">
        <is>
          <t>Мода</t>
        </is>
      </c>
      <c r="C198" s="21" t="inlineStr"/>
      <c r="D198" s="21" t="inlineStr"/>
      <c r="E198" s="21" t="inlineStr"/>
      <c r="F198" s="31" t="n"/>
      <c r="G198" s="31" t="n"/>
      <c r="H198" s="31" t="n"/>
      <c r="I198" s="31" t="n"/>
      <c r="J198" s="31" t="n">
        <v>0</v>
      </c>
      <c r="K198" s="31" t="n">
        <v>0</v>
      </c>
      <c r="L198" s="31" t="n">
        <v>0</v>
      </c>
      <c r="M198" s="31" t="n">
        <v>0</v>
      </c>
      <c r="N198" s="21" t="inlineStr"/>
      <c r="O198" s="21" t="inlineStr"/>
      <c r="P198" s="21" t="inlineStr"/>
      <c r="Q198" s="21" t="inlineStr"/>
      <c r="R198" s="40" t="n">
        <v>50</v>
      </c>
      <c r="S198" s="21" t="inlineStr">
        <is>
          <t>CP:R 356</t>
        </is>
      </c>
      <c r="T198" s="21" t="inlineStr">
        <is>
          <t>Western. Rugged. Tribal.</t>
        </is>
      </c>
    </row>
    <row r="199">
      <c r="A199" s="21" t="inlineStr">
        <is>
          <t>Nomad Leathers Contact Lenses</t>
        </is>
      </c>
      <c r="B199" s="21" t="inlineStr">
        <is>
          <t>Мода</t>
        </is>
      </c>
      <c r="C199" s="21" t="inlineStr"/>
      <c r="D199" s="21" t="inlineStr"/>
      <c r="E199" s="21" t="inlineStr"/>
      <c r="F199" s="31" t="n"/>
      <c r="G199" s="31" t="n"/>
      <c r="H199" s="31" t="n"/>
      <c r="I199" s="31" t="n"/>
      <c r="J199" s="31" t="n">
        <v>0</v>
      </c>
      <c r="K199" s="31" t="n">
        <v>0</v>
      </c>
      <c r="L199" s="31" t="n">
        <v>0</v>
      </c>
      <c r="M199" s="31" t="n">
        <v>0</v>
      </c>
      <c r="N199" s="21" t="inlineStr"/>
      <c r="O199" s="21" t="inlineStr"/>
      <c r="P199" s="21" t="inlineStr"/>
      <c r="Q199" s="21" t="inlineStr"/>
      <c r="R199" s="40" t="n">
        <v>20</v>
      </c>
      <c r="S199" s="21" t="inlineStr">
        <is>
          <t>CP:R 356</t>
        </is>
      </c>
      <c r="T199" s="21" t="inlineStr">
        <is>
          <t>Western. Rugged. Tribal.</t>
        </is>
      </c>
    </row>
    <row r="200">
      <c r="A200" s="21" t="inlineStr">
        <is>
          <t>Nomad Leathers Hats</t>
        </is>
      </c>
      <c r="B200" s="21" t="inlineStr">
        <is>
          <t>Мода</t>
        </is>
      </c>
      <c r="C200" s="21" t="inlineStr"/>
      <c r="D200" s="21" t="inlineStr"/>
      <c r="E200" s="21" t="inlineStr"/>
      <c r="F200" s="31" t="n"/>
      <c r="G200" s="31" t="n"/>
      <c r="H200" s="31" t="n"/>
      <c r="I200" s="31" t="n"/>
      <c r="J200" s="31" t="n">
        <v>0</v>
      </c>
      <c r="K200" s="31" t="n">
        <v>0</v>
      </c>
      <c r="L200" s="31" t="n">
        <v>0</v>
      </c>
      <c r="M200" s="31" t="n">
        <v>0</v>
      </c>
      <c r="N200" s="21" t="inlineStr"/>
      <c r="O200" s="21" t="inlineStr"/>
      <c r="P200" s="21" t="inlineStr"/>
      <c r="Q200" s="21" t="inlineStr"/>
      <c r="R200" s="40" t="n">
        <v>100</v>
      </c>
      <c r="S200" s="21" t="inlineStr">
        <is>
          <t>CP:R 356</t>
        </is>
      </c>
      <c r="T200" s="21" t="inlineStr">
        <is>
          <t>Western. Rugged. Tribal.</t>
        </is>
      </c>
    </row>
    <row r="201">
      <c r="A201" s="21" t="inlineStr">
        <is>
          <t>Urban Flash Bottoms</t>
        </is>
      </c>
      <c r="B201" s="21" t="inlineStr">
        <is>
          <t>Мода</t>
        </is>
      </c>
      <c r="C201" s="21" t="inlineStr"/>
      <c r="D201" s="21" t="inlineStr"/>
      <c r="E201" s="21" t="inlineStr"/>
      <c r="F201" s="31" t="n"/>
      <c r="G201" s="31" t="n"/>
      <c r="H201" s="31" t="n"/>
      <c r="I201" s="31" t="n"/>
      <c r="J201" s="31" t="n">
        <v>0</v>
      </c>
      <c r="K201" s="31" t="n">
        <v>0</v>
      </c>
      <c r="L201" s="31" t="n">
        <v>0</v>
      </c>
      <c r="M201" s="31" t="n">
        <v>0</v>
      </c>
      <c r="N201" s="21" t="inlineStr"/>
      <c r="O201" s="21" t="inlineStr"/>
      <c r="P201" s="21" t="inlineStr"/>
      <c r="Q201" s="21" t="inlineStr"/>
      <c r="R201" s="40" t="n">
        <v>100</v>
      </c>
      <c r="S201" s="21" t="inlineStr">
        <is>
          <t>CP:R 356</t>
        </is>
      </c>
      <c r="T201" s="21" t="inlineStr">
        <is>
          <t>Flashy. Technological. Streetwear.</t>
        </is>
      </c>
    </row>
    <row r="202">
      <c r="A202" s="21" t="inlineStr">
        <is>
          <t>Urban Flash Top</t>
        </is>
      </c>
      <c r="B202" s="21" t="inlineStr">
        <is>
          <t>Мода</t>
        </is>
      </c>
      <c r="C202" s="21" t="inlineStr"/>
      <c r="D202" s="21" t="inlineStr"/>
      <c r="E202" s="21" t="inlineStr"/>
      <c r="F202" s="31" t="n"/>
      <c r="G202" s="31" t="n"/>
      <c r="H202" s="31" t="n"/>
      <c r="I202" s="31" t="n"/>
      <c r="J202" s="31" t="n">
        <v>0</v>
      </c>
      <c r="K202" s="31" t="n">
        <v>0</v>
      </c>
      <c r="L202" s="31" t="n">
        <v>0</v>
      </c>
      <c r="M202" s="31" t="n">
        <v>0</v>
      </c>
      <c r="N202" s="21" t="inlineStr"/>
      <c r="O202" s="21" t="inlineStr"/>
      <c r="P202" s="21" t="inlineStr"/>
      <c r="Q202" s="21" t="inlineStr"/>
      <c r="R202" s="40" t="n">
        <v>20</v>
      </c>
      <c r="S202" s="21" t="inlineStr">
        <is>
          <t>CP:R 356</t>
        </is>
      </c>
      <c r="T202" s="21" t="inlineStr">
        <is>
          <t>Flashy. Technological. Streetwear.</t>
        </is>
      </c>
    </row>
    <row r="203">
      <c r="A203" s="21" t="inlineStr">
        <is>
          <t>Urban Flash Jacket</t>
        </is>
      </c>
      <c r="B203" s="21" t="inlineStr">
        <is>
          <t>Мода</t>
        </is>
      </c>
      <c r="C203" s="21" t="inlineStr"/>
      <c r="D203" s="21" t="inlineStr"/>
      <c r="E203" s="21" t="inlineStr"/>
      <c r="F203" s="31" t="n"/>
      <c r="G203" s="31" t="n"/>
      <c r="H203" s="31" t="n"/>
      <c r="I203" s="31" t="n"/>
      <c r="J203" s="31" t="n">
        <v>0</v>
      </c>
      <c r="K203" s="31" t="n">
        <v>0</v>
      </c>
      <c r="L203" s="31" t="n">
        <v>0</v>
      </c>
      <c r="M203" s="31" t="n">
        <v>0</v>
      </c>
      <c r="N203" s="21" t="inlineStr"/>
      <c r="O203" s="21" t="inlineStr"/>
      <c r="P203" s="21" t="inlineStr"/>
      <c r="Q203" s="21" t="inlineStr"/>
      <c r="R203" s="40" t="n">
        <v>100</v>
      </c>
      <c r="S203" s="21" t="inlineStr">
        <is>
          <t>CP:R 356</t>
        </is>
      </c>
      <c r="T203" s="21" t="inlineStr">
        <is>
          <t>Flashy. Technological. Streetwear.</t>
        </is>
      </c>
    </row>
    <row r="204">
      <c r="A204" s="21" t="inlineStr">
        <is>
          <t>Urban Flash Footwear</t>
        </is>
      </c>
      <c r="B204" s="21" t="inlineStr">
        <is>
          <t>Мода</t>
        </is>
      </c>
      <c r="C204" s="21" t="inlineStr"/>
      <c r="D204" s="21" t="inlineStr"/>
      <c r="E204" s="21" t="inlineStr"/>
      <c r="F204" s="31" t="n"/>
      <c r="G204" s="31" t="n"/>
      <c r="H204" s="31" t="n"/>
      <c r="I204" s="31" t="n"/>
      <c r="J204" s="31" t="n">
        <v>0</v>
      </c>
      <c r="K204" s="31" t="n">
        <v>0</v>
      </c>
      <c r="L204" s="31" t="n">
        <v>0</v>
      </c>
      <c r="M204" s="31" t="n">
        <v>0</v>
      </c>
      <c r="N204" s="21" t="inlineStr"/>
      <c r="O204" s="21" t="inlineStr"/>
      <c r="P204" s="21" t="inlineStr"/>
      <c r="Q204" s="21" t="inlineStr"/>
      <c r="R204" s="40" t="n">
        <v>100</v>
      </c>
      <c r="S204" s="21" t="inlineStr">
        <is>
          <t>CP:R 356</t>
        </is>
      </c>
      <c r="T204" s="21" t="inlineStr">
        <is>
          <t>Flashy. Technological. Streetwear.</t>
        </is>
      </c>
    </row>
    <row r="205">
      <c r="A205" s="21" t="inlineStr">
        <is>
          <t>Urban Flash Jewelry</t>
        </is>
      </c>
      <c r="B205" s="21" t="inlineStr">
        <is>
          <t>Мода</t>
        </is>
      </c>
      <c r="C205" s="21" t="inlineStr"/>
      <c r="D205" s="21" t="inlineStr"/>
      <c r="E205" s="21" t="inlineStr"/>
      <c r="F205" s="31" t="n"/>
      <c r="G205" s="31" t="n"/>
      <c r="H205" s="31" t="n"/>
      <c r="I205" s="31" t="n"/>
      <c r="J205" s="31" t="n">
        <v>0</v>
      </c>
      <c r="K205" s="31" t="n">
        <v>0</v>
      </c>
      <c r="L205" s="31" t="n">
        <v>0</v>
      </c>
      <c r="M205" s="31" t="n">
        <v>0</v>
      </c>
      <c r="N205" s="21" t="inlineStr"/>
      <c r="O205" s="21" t="inlineStr"/>
      <c r="P205" s="21" t="inlineStr"/>
      <c r="Q205" s="21" t="inlineStr"/>
      <c r="R205" s="40" t="n">
        <v>100</v>
      </c>
      <c r="S205" s="21" t="inlineStr">
        <is>
          <t>CP:R 356</t>
        </is>
      </c>
      <c r="T205" s="21" t="inlineStr">
        <is>
          <t>Flashy. Technological. Streetwear.</t>
        </is>
      </c>
    </row>
    <row r="206">
      <c r="A206" s="21" t="inlineStr">
        <is>
          <t>Urban Flash Mirrorshades</t>
        </is>
      </c>
      <c r="B206" s="21" t="inlineStr">
        <is>
          <t>Мода</t>
        </is>
      </c>
      <c r="C206" s="21" t="inlineStr"/>
      <c r="D206" s="21" t="inlineStr"/>
      <c r="E206" s="21" t="inlineStr"/>
      <c r="F206" s="31" t="n"/>
      <c r="G206" s="31" t="n"/>
      <c r="H206" s="31" t="n"/>
      <c r="I206" s="31" t="n"/>
      <c r="J206" s="31" t="n">
        <v>0</v>
      </c>
      <c r="K206" s="31" t="n">
        <v>0</v>
      </c>
      <c r="L206" s="31" t="n">
        <v>0</v>
      </c>
      <c r="M206" s="31" t="n">
        <v>0</v>
      </c>
      <c r="N206" s="21" t="inlineStr"/>
      <c r="O206" s="21" t="inlineStr"/>
      <c r="P206" s="21" t="inlineStr"/>
      <c r="Q206" s="21" t="inlineStr"/>
      <c r="R206" s="40" t="n">
        <v>100</v>
      </c>
      <c r="S206" s="21" t="inlineStr">
        <is>
          <t>CP:R 356</t>
        </is>
      </c>
      <c r="T206" s="21" t="inlineStr">
        <is>
          <t>Flashy. Technological. Streetwear.</t>
        </is>
      </c>
    </row>
    <row r="207">
      <c r="A207" s="21" t="inlineStr">
        <is>
          <t>Urban Flash Glasses</t>
        </is>
      </c>
      <c r="B207" s="21" t="inlineStr">
        <is>
          <t>Мода</t>
        </is>
      </c>
      <c r="C207" s="21" t="inlineStr"/>
      <c r="D207" s="21" t="inlineStr"/>
      <c r="E207" s="21" t="inlineStr"/>
      <c r="F207" s="31" t="n"/>
      <c r="G207" s="31" t="n"/>
      <c r="H207" s="31" t="n"/>
      <c r="I207" s="31" t="n"/>
      <c r="J207" s="31" t="n">
        <v>0</v>
      </c>
      <c r="K207" s="31" t="n">
        <v>0</v>
      </c>
      <c r="L207" s="31" t="n">
        <v>0</v>
      </c>
      <c r="M207" s="31" t="n">
        <v>0</v>
      </c>
      <c r="N207" s="21" t="inlineStr"/>
      <c r="O207" s="21" t="inlineStr"/>
      <c r="P207" s="21" t="inlineStr"/>
      <c r="Q207" s="21" t="inlineStr"/>
      <c r="R207" s="40" t="n">
        <v>100</v>
      </c>
      <c r="S207" s="21" t="inlineStr">
        <is>
          <t>CP:R 356</t>
        </is>
      </c>
      <c r="T207" s="21" t="inlineStr">
        <is>
          <t>Flashy. Technological. Streetwear.</t>
        </is>
      </c>
    </row>
    <row r="208">
      <c r="A208" s="21" t="inlineStr">
        <is>
          <t>Urban Flash Contact Lenses</t>
        </is>
      </c>
      <c r="B208" s="21" t="inlineStr">
        <is>
          <t>Мода</t>
        </is>
      </c>
      <c r="C208" s="21" t="inlineStr"/>
      <c r="D208" s="21" t="inlineStr"/>
      <c r="E208" s="21" t="inlineStr"/>
      <c r="F208" s="31" t="n"/>
      <c r="G208" s="31" t="n"/>
      <c r="H208" s="31" t="n"/>
      <c r="I208" s="31" t="n"/>
      <c r="J208" s="31" t="n">
        <v>0</v>
      </c>
      <c r="K208" s="31" t="n">
        <v>0</v>
      </c>
      <c r="L208" s="31" t="n">
        <v>0</v>
      </c>
      <c r="M208" s="31" t="n">
        <v>0</v>
      </c>
      <c r="N208" s="21" t="inlineStr"/>
      <c r="O208" s="21" t="inlineStr"/>
      <c r="P208" s="21" t="inlineStr"/>
      <c r="Q208" s="21" t="inlineStr"/>
      <c r="R208" s="40" t="n">
        <v>100</v>
      </c>
      <c r="S208" s="21" t="inlineStr">
        <is>
          <t>CP:R 356</t>
        </is>
      </c>
      <c r="T208" s="21" t="inlineStr">
        <is>
          <t>Flashy. Technological. Streetwear.</t>
        </is>
      </c>
    </row>
    <row r="209">
      <c r="A209" s="21" t="inlineStr">
        <is>
          <t>Urban Flash Hats</t>
        </is>
      </c>
      <c r="B209" s="21" t="inlineStr">
        <is>
          <t>Мода</t>
        </is>
      </c>
      <c r="C209" s="21" t="inlineStr"/>
      <c r="D209" s="21" t="inlineStr"/>
      <c r="E209" s="21" t="inlineStr"/>
      <c r="F209" s="31" t="n"/>
      <c r="G209" s="31" t="n"/>
      <c r="H209" s="31" t="n"/>
      <c r="I209" s="31" t="n"/>
      <c r="J209" s="31" t="n">
        <v>0</v>
      </c>
      <c r="K209" s="31" t="n">
        <v>0</v>
      </c>
      <c r="L209" s="31" t="n">
        <v>0</v>
      </c>
      <c r="M209" s="31" t="n">
        <v>0</v>
      </c>
      <c r="N209" s="21" t="inlineStr"/>
      <c r="O209" s="21" t="inlineStr"/>
      <c r="P209" s="21" t="inlineStr"/>
      <c r="Q209" s="21" t="inlineStr"/>
      <c r="R209" s="40" t="n">
        <v>100</v>
      </c>
      <c r="S209" s="21" t="inlineStr">
        <is>
          <t>CP:R 356</t>
        </is>
      </c>
      <c r="T209" s="21" t="inlineStr">
        <is>
          <t>Flashy. Technological. Streetwear.</t>
        </is>
      </c>
    </row>
    <row r="210">
      <c r="A210" s="21" t="inlineStr">
        <is>
          <t>Superflash Jacket</t>
        </is>
      </c>
      <c r="B210" s="21" t="inlineStr">
        <is>
          <t>Мода</t>
        </is>
      </c>
      <c r="C210" s="21" t="inlineStr"/>
      <c r="D210" s="21" t="inlineStr"/>
      <c r="E210" s="21" t="inlineStr"/>
      <c r="F210" s="31" t="n"/>
      <c r="G210" s="31" t="n"/>
      <c r="H210" s="31" t="n"/>
      <c r="I210" s="31" t="n"/>
      <c r="J210" s="31" t="n">
        <v>0</v>
      </c>
      <c r="K210" s="31" t="n">
        <v>0</v>
      </c>
      <c r="L210" s="31" t="n">
        <v>0</v>
      </c>
      <c r="M210" s="31" t="n">
        <v>0</v>
      </c>
      <c r="N210" s="21" t="inlineStr"/>
      <c r="O210" s="21" t="inlineStr"/>
      <c r="P210" s="21" t="inlineStr"/>
      <c r="Q210" s="21" t="inlineStr"/>
      <c r="R210" s="40" t="n">
        <v>500</v>
      </c>
      <c r="S210" s="21" t="inlineStr">
        <is>
          <t>MC 1 · DL:DGD+ 11</t>
        </is>
      </c>
      <c r="T210" s="21" t="inlineStr">
        <is>
          <t xml:space="preserve">A stylish urban flash jacket. As an Action, the wearer can destroy (beyond repair) a replaceable 50eb (Costly) battery, converting it into 7 megacandela of blinding light. Treat the effect like a Flashbang Grenade going </t>
        </is>
      </c>
    </row>
    <row r="211">
      <c r="A211" s="21" t="inlineStr">
        <is>
          <t>Cold-Weather Jacket Lining</t>
        </is>
      </c>
      <c r="B211" s="21" t="inlineStr">
        <is>
          <t>Мода</t>
        </is>
      </c>
      <c r="C211" s="21" t="inlineStr"/>
      <c r="D211" s="21" t="inlineStr"/>
      <c r="E211" s="21" t="inlineStr"/>
      <c r="F211" s="31" t="n"/>
      <c r="G211" s="31" t="n"/>
      <c r="H211" s="31" t="n"/>
      <c r="I211" s="31" t="n"/>
      <c r="J211" s="31" t="n">
        <v>0</v>
      </c>
      <c r="K211" s="31" t="n">
        <v>0</v>
      </c>
      <c r="L211" s="31" t="n">
        <v>0</v>
      </c>
      <c r="M211" s="31" t="n">
        <v>0</v>
      </c>
      <c r="N211" s="21" t="inlineStr"/>
      <c r="O211" s="21" t="inlineStr"/>
      <c r="P211" s="21" t="inlineStr"/>
      <c r="Q211" s="21" t="inlineStr"/>
      <c r="R211" s="40" t="n">
        <v>500</v>
      </c>
      <c r="S211" s="21" t="inlineStr">
        <is>
          <t>DL:We 6 · IR2 20</t>
        </is>
      </c>
      <c r="T211" s="21" t="inlineStr">
        <is>
          <t>A lining of insulated material you can apply to an existing jacket (CP:R page 356). It protects against extremely low temperatures. This counts as appropriate gear when dealing with Exposure (CP:R page 181).</t>
        </is>
      </c>
    </row>
    <row r="212">
      <c r="A212" s="21" t="inlineStr">
        <is>
          <t>Hot-Weather Jacket Lining</t>
        </is>
      </c>
      <c r="B212" s="21" t="inlineStr">
        <is>
          <t>Мода</t>
        </is>
      </c>
      <c r="C212" s="21" t="inlineStr"/>
      <c r="D212" s="21" t="inlineStr"/>
      <c r="E212" s="21" t="inlineStr"/>
      <c r="F212" s="31" t="n"/>
      <c r="G212" s="31" t="n"/>
      <c r="H212" s="31" t="n"/>
      <c r="I212" s="31" t="n"/>
      <c r="J212" s="31" t="n">
        <v>0</v>
      </c>
      <c r="K212" s="31" t="n">
        <v>0</v>
      </c>
      <c r="L212" s="31" t="n">
        <v>0</v>
      </c>
      <c r="M212" s="31" t="n">
        <v>0</v>
      </c>
      <c r="N212" s="21" t="inlineStr"/>
      <c r="O212" s="21" t="inlineStr"/>
      <c r="P212" s="21" t="inlineStr"/>
      <c r="Q212" s="21" t="inlineStr"/>
      <c r="R212" s="40" t="n">
        <v>500</v>
      </c>
      <c r="S212" s="21" t="inlineStr">
        <is>
          <t>DL:We 6 · IR2 20</t>
        </is>
      </c>
      <c r="T212" s="21" t="inlineStr">
        <is>
          <t>A lining you can apply to an existing jacket (CP:R page 356) that wicks sweat and vents heat using a low power ducted fan system. It protects against extremely high temperature. This counts as appropriate gear when deali</t>
        </is>
      </c>
    </row>
    <row r="213">
      <c r="A213" s="21" t="inlineStr">
        <is>
          <t>Waterproof Jacket Lining</t>
        </is>
      </c>
      <c r="B213" s="21" t="inlineStr">
        <is>
          <t>Мода</t>
        </is>
      </c>
      <c r="C213" s="21" t="inlineStr"/>
      <c r="D213" s="21" t="inlineStr"/>
      <c r="E213" s="21" t="inlineStr"/>
      <c r="F213" s="31" t="n"/>
      <c r="G213" s="31" t="n"/>
      <c r="H213" s="31" t="n"/>
      <c r="I213" s="31" t="n"/>
      <c r="J213" s="31" t="n">
        <v>0</v>
      </c>
      <c r="K213" s="31" t="n">
        <v>0</v>
      </c>
      <c r="L213" s="31" t="n">
        <v>0</v>
      </c>
      <c r="M213" s="31" t="n">
        <v>0</v>
      </c>
      <c r="N213" s="21" t="inlineStr"/>
      <c r="O213" s="21" t="inlineStr"/>
      <c r="P213" s="21" t="inlineStr"/>
      <c r="Q213" s="21" t="inlineStr"/>
      <c r="R213" s="40" t="n">
        <v>500</v>
      </c>
      <c r="S213" s="21" t="inlineStr">
        <is>
          <t>DL:We 6 · IR2 20</t>
        </is>
      </c>
      <c r="T213" s="21" t="inlineStr">
        <is>
          <t>A lining treated with special chemicals you can apply to an existing jacket (CP:R page 356). It protects against certain weather conditions. Waterproof Jacket Linings negate the armor ablating effects of Acid Rain and gi</t>
        </is>
      </c>
    </row>
    <row r="214">
      <c r="A214" s="21" t="inlineStr">
        <is>
          <t>Basic</t>
        </is>
      </c>
      <c r="B214" s="21" t="inlineStr">
        <is>
          <t>Патроны</t>
        </is>
      </c>
      <c r="C214" s="21" t="inlineStr"/>
      <c r="D214" s="21" t="inlineStr"/>
      <c r="E214" s="21" t="inlineStr"/>
      <c r="F214" s="31" t="n"/>
      <c r="G214" s="31" t="n"/>
      <c r="H214" s="31" t="n"/>
      <c r="I214" s="31" t="n"/>
      <c r="J214" s="31" t="n">
        <v>0</v>
      </c>
      <c r="K214" s="31" t="n">
        <v>0</v>
      </c>
      <c r="L214" s="31" t="n">
        <v>0</v>
      </c>
      <c r="M214" s="31" t="n">
        <v>0</v>
      </c>
      <c r="N214" s="21" t="inlineStr"/>
      <c r="O214" s="21" t="inlineStr"/>
      <c r="P214" s="21" t="inlineStr"/>
      <c r="Q214" s="21" t="inlineStr"/>
      <c r="R214" s="40" t="n">
        <v>10</v>
      </c>
      <c r="S214" s="21" t="inlineStr">
        <is>
          <t>CP:R 345</t>
        </is>
      </c>
      <c r="T214" s="21" t="inlineStr">
        <is>
          <t>This is the standard ammunition for the weapon. It has no special features.</t>
        </is>
      </c>
    </row>
    <row r="215">
      <c r="A215" s="21" t="inlineStr">
        <is>
          <t>Armor-Piercing</t>
        </is>
      </c>
      <c r="B215" s="21" t="inlineStr">
        <is>
          <t>Патроны</t>
        </is>
      </c>
      <c r="C215" s="21" t="inlineStr"/>
      <c r="D215" s="21" t="inlineStr"/>
      <c r="E215" s="21" t="inlineStr"/>
      <c r="F215" s="31" t="n"/>
      <c r="G215" s="31" t="n"/>
      <c r="H215" s="31" t="n"/>
      <c r="I215" s="31" t="n"/>
      <c r="J215" s="31" t="n">
        <v>0</v>
      </c>
      <c r="K215" s="31" t="n">
        <v>0</v>
      </c>
      <c r="L215" s="31" t="n">
        <v>0</v>
      </c>
      <c r="M215" s="31" t="n">
        <v>0</v>
      </c>
      <c r="N215" s="21" t="inlineStr"/>
      <c r="O215" s="21" t="inlineStr"/>
      <c r="P215" s="21" t="inlineStr"/>
      <c r="Q215" s="21" t="inlineStr"/>
      <c r="R215" s="40" t="n">
        <v>100</v>
      </c>
      <c r="S215" s="21" t="inlineStr">
        <is>
          <t>CP:R 345</t>
        </is>
      </c>
      <c r="T215" s="21" t="inlineStr">
        <is>
          <t>When using this ammunition, you ablate armor by 2 instead of 1 whenever you would ablate armor.</t>
        </is>
      </c>
    </row>
    <row r="216">
      <c r="A216" s="21" t="inlineStr">
        <is>
          <t>Biotoxin</t>
        </is>
      </c>
      <c r="B216" s="21" t="inlineStr">
        <is>
          <t>Патроны</t>
        </is>
      </c>
      <c r="C216" s="21" t="inlineStr"/>
      <c r="D216" s="21" t="inlineStr"/>
      <c r="E216" s="21" t="inlineStr"/>
      <c r="F216" s="31" t="n"/>
      <c r="G216" s="31" t="n"/>
      <c r="H216" s="31" t="n"/>
      <c r="I216" s="31" t="n"/>
      <c r="J216" s="31" t="n">
        <v>0</v>
      </c>
      <c r="K216" s="31" t="n">
        <v>0</v>
      </c>
      <c r="L216" s="31" t="n">
        <v>0</v>
      </c>
      <c r="M216" s="31" t="n">
        <v>0</v>
      </c>
      <c r="N216" s="21" t="inlineStr"/>
      <c r="O216" s="21" t="inlineStr"/>
      <c r="P216" s="21" t="inlineStr"/>
      <c r="Q216" s="21" t="inlineStr"/>
      <c r="R216" s="40" t="n">
        <v>500</v>
      </c>
      <c r="S216" s="21" t="inlineStr">
        <is>
          <t>CP:R 345</t>
        </is>
      </c>
      <c r="T216" s="21" t="inlineStr">
        <is>
          <t>When using this ammunition, you deal no damage with your attack. Anyone meat hit by your attack must instead attempt to beat a DV15 Resist Torture/Drugs Check. Anyone who fails is dealt 3d6 damage directly to their HP. T</t>
        </is>
      </c>
    </row>
    <row r="217">
      <c r="A217" s="21" t="inlineStr">
        <is>
          <t>EMP</t>
        </is>
      </c>
      <c r="B217" s="21" t="inlineStr">
        <is>
          <t>Патроны</t>
        </is>
      </c>
      <c r="C217" s="21" t="inlineStr"/>
      <c r="D217" s="21" t="inlineStr"/>
      <c r="E217" s="21" t="inlineStr"/>
      <c r="F217" s="31" t="n"/>
      <c r="G217" s="31" t="n"/>
      <c r="H217" s="31" t="n"/>
      <c r="I217" s="31" t="n"/>
      <c r="J217" s="31" t="n">
        <v>0</v>
      </c>
      <c r="K217" s="31" t="n">
        <v>0</v>
      </c>
      <c r="L217" s="31" t="n">
        <v>0</v>
      </c>
      <c r="M217" s="31" t="n">
        <v>0</v>
      </c>
      <c r="N217" s="21" t="inlineStr"/>
      <c r="O217" s="21" t="inlineStr"/>
      <c r="P217" s="21" t="inlineStr"/>
      <c r="Q217" s="21" t="inlineStr"/>
      <c r="R217" s="40" t="n">
        <v>500</v>
      </c>
      <c r="S217" s="21" t="inlineStr">
        <is>
          <t>CP:R 345</t>
        </is>
      </c>
      <c r="T217" s="21" t="inlineStr">
        <is>
          <t>When using this ammunition, you deal no damage with your attack. Anyone hit by your attack must instead attempt to beat a DV15 Cybertech Check. If they fail, the GM chooses 2 pieces of their Cyberware or carried electron</t>
        </is>
      </c>
    </row>
    <row r="218">
      <c r="A218" s="21" t="inlineStr">
        <is>
          <t>Expansive</t>
        </is>
      </c>
      <c r="B218" s="21" t="inlineStr">
        <is>
          <t>Патроны</t>
        </is>
      </c>
      <c r="C218" s="21" t="inlineStr"/>
      <c r="D218" s="21" t="inlineStr"/>
      <c r="E218" s="21" t="inlineStr"/>
      <c r="F218" s="31" t="n"/>
      <c r="G218" s="31" t="n"/>
      <c r="H218" s="31" t="n"/>
      <c r="I218" s="31" t="n"/>
      <c r="J218" s="31" t="n">
        <v>0</v>
      </c>
      <c r="K218" s="31" t="n">
        <v>0</v>
      </c>
      <c r="L218" s="31" t="n">
        <v>0</v>
      </c>
      <c r="M218" s="31" t="n">
        <v>0</v>
      </c>
      <c r="N218" s="21" t="inlineStr"/>
      <c r="O218" s="21" t="inlineStr"/>
      <c r="P218" s="21" t="inlineStr"/>
      <c r="Q218" s="21" t="inlineStr"/>
      <c r="R218" s="40" t="n">
        <v>100</v>
      </c>
      <c r="S218" s="21" t="inlineStr">
        <is>
          <t>CP:R 345</t>
        </is>
      </c>
      <c r="T218" s="21" t="inlineStr">
        <is>
          <t>When using this ammunition, whenever you cause the Foreign Object Critical Injury, the victim rolls again on the Critical Injury table (see pg. 187) until they roll a Critical Injury that isn't Foreign Object. The victim</t>
        </is>
      </c>
    </row>
    <row r="219">
      <c r="A219" s="21" t="inlineStr">
        <is>
          <t>Flashbang</t>
        </is>
      </c>
      <c r="B219" s="21" t="inlineStr">
        <is>
          <t>Патроны</t>
        </is>
      </c>
      <c r="C219" s="21" t="inlineStr"/>
      <c r="D219" s="21" t="inlineStr"/>
      <c r="E219" s="21" t="inlineStr"/>
      <c r="F219" s="31" t="n"/>
      <c r="G219" s="31" t="n"/>
      <c r="H219" s="31" t="n"/>
      <c r="I219" s="31" t="n"/>
      <c r="J219" s="31" t="n">
        <v>0</v>
      </c>
      <c r="K219" s="31" t="n">
        <v>0</v>
      </c>
      <c r="L219" s="31" t="n">
        <v>0</v>
      </c>
      <c r="M219" s="31" t="n">
        <v>0</v>
      </c>
      <c r="N219" s="21" t="inlineStr"/>
      <c r="O219" s="21" t="inlineStr"/>
      <c r="P219" s="21" t="inlineStr"/>
      <c r="Q219" s="21" t="inlineStr"/>
      <c r="R219" s="40" t="n">
        <v>100</v>
      </c>
      <c r="S219" s="21" t="inlineStr">
        <is>
          <t>CP:R 346</t>
        </is>
      </c>
      <c r="T219" s="21" t="inlineStr">
        <is>
          <t>When using this ammunition, you deal no damage with your attack. Anyone hit by your attack must instead attempt to beat a DV15 Resist Torture/Drugs Check. Anyone who fails suffers the Damaged Eye and Damaged Ear Critical</t>
        </is>
      </c>
    </row>
    <row r="220">
      <c r="A220" s="21" t="inlineStr">
        <is>
          <t>Incendiary</t>
        </is>
      </c>
      <c r="B220" s="21" t="inlineStr">
        <is>
          <t>Патроны</t>
        </is>
      </c>
      <c r="C220" s="21" t="inlineStr"/>
      <c r="D220" s="21" t="inlineStr"/>
      <c r="E220" s="21" t="inlineStr"/>
      <c r="F220" s="31" t="n"/>
      <c r="G220" s="31" t="n"/>
      <c r="H220" s="31" t="n"/>
      <c r="I220" s="31" t="n"/>
      <c r="J220" s="31" t="n">
        <v>0</v>
      </c>
      <c r="K220" s="31" t="n">
        <v>0</v>
      </c>
      <c r="L220" s="31" t="n">
        <v>0</v>
      </c>
      <c r="M220" s="31" t="n">
        <v>0</v>
      </c>
      <c r="N220" s="21" t="inlineStr"/>
      <c r="O220" s="21" t="inlineStr"/>
      <c r="P220" s="21" t="inlineStr"/>
      <c r="Q220" s="21" t="inlineStr"/>
      <c r="R220" s="40" t="n">
        <v>100</v>
      </c>
      <c r="S220" s="21" t="inlineStr">
        <is>
          <t>CP:R 346</t>
        </is>
      </c>
      <c r="T220" s="21" t="inlineStr">
        <is>
          <t>When using this ammunition, whenever you deal damage to a target through their armor, you ignite the target. Until your target spends an Action to put themselves out, they take 2 damage directly to their HP whenever they</t>
        </is>
      </c>
    </row>
    <row r="221">
      <c r="A221" s="21" t="inlineStr">
        <is>
          <t>Poison</t>
        </is>
      </c>
      <c r="B221" s="21" t="inlineStr">
        <is>
          <t>Патроны</t>
        </is>
      </c>
      <c r="C221" s="21" t="inlineStr"/>
      <c r="D221" s="21" t="inlineStr"/>
      <c r="E221" s="21" t="inlineStr"/>
      <c r="F221" s="31" t="n"/>
      <c r="G221" s="31" t="n"/>
      <c r="H221" s="31" t="n"/>
      <c r="I221" s="31" t="n"/>
      <c r="J221" s="31" t="n">
        <v>0</v>
      </c>
      <c r="K221" s="31" t="n">
        <v>0</v>
      </c>
      <c r="L221" s="31" t="n">
        <v>0</v>
      </c>
      <c r="M221" s="31" t="n">
        <v>0</v>
      </c>
      <c r="N221" s="21" t="inlineStr"/>
      <c r="O221" s="21" t="inlineStr"/>
      <c r="P221" s="21" t="inlineStr"/>
      <c r="Q221" s="21" t="inlineStr"/>
      <c r="R221" s="40" t="n">
        <v>100</v>
      </c>
      <c r="S221" s="21" t="inlineStr">
        <is>
          <t>CP:R 346</t>
        </is>
      </c>
      <c r="T221" s="21" t="inlineStr">
        <is>
          <t>When using this ammunition, you deal no damage with your attack. Anyone meat hit by your attack must instead attempt to beat a DV13 Resist Torture/Drugs Check. Anyone who fails is dealt 2d6 damage directly to their HP. T</t>
        </is>
      </c>
    </row>
    <row r="222">
      <c r="A222" s="21" t="inlineStr">
        <is>
          <t>Rubber</t>
        </is>
      </c>
      <c r="B222" s="21" t="inlineStr">
        <is>
          <t>Патроны</t>
        </is>
      </c>
      <c r="C222" s="21" t="inlineStr"/>
      <c r="D222" s="21" t="inlineStr"/>
      <c r="E222" s="21" t="inlineStr"/>
      <c r="F222" s="31" t="n"/>
      <c r="G222" s="31" t="n"/>
      <c r="H222" s="31" t="n"/>
      <c r="I222" s="31" t="n"/>
      <c r="J222" s="31" t="n">
        <v>0</v>
      </c>
      <c r="K222" s="31" t="n">
        <v>0</v>
      </c>
      <c r="L222" s="31" t="n">
        <v>0</v>
      </c>
      <c r="M222" s="31" t="n">
        <v>0</v>
      </c>
      <c r="N222" s="21" t="inlineStr"/>
      <c r="O222" s="21" t="inlineStr"/>
      <c r="P222" s="21" t="inlineStr"/>
      <c r="Q222" s="21" t="inlineStr"/>
      <c r="R222" s="40" t="n">
        <v>10</v>
      </c>
      <c r="S222" s="21" t="inlineStr">
        <is>
          <t>CP:R 346</t>
        </is>
      </c>
      <c r="T222" s="21" t="inlineStr">
        <is>
          <t>Damage dealt using this ammunition cannot cause a Critical Injury. Additionally, attacks made with this ammunition cannot ablate armor. If damage dealt by this ammunition would reduce a target with more than 1 HP to less</t>
        </is>
      </c>
    </row>
    <row r="223">
      <c r="A223" s="21" t="inlineStr">
        <is>
          <t>Sleep</t>
        </is>
      </c>
      <c r="B223" s="21" t="inlineStr">
        <is>
          <t>Патроны</t>
        </is>
      </c>
      <c r="C223" s="21" t="inlineStr"/>
      <c r="D223" s="21" t="inlineStr"/>
      <c r="E223" s="21" t="inlineStr"/>
      <c r="F223" s="31" t="n"/>
      <c r="G223" s="31" t="n"/>
      <c r="H223" s="31" t="n"/>
      <c r="I223" s="31" t="n"/>
      <c r="J223" s="31" t="n">
        <v>0</v>
      </c>
      <c r="K223" s="31" t="n">
        <v>0</v>
      </c>
      <c r="L223" s="31" t="n">
        <v>0</v>
      </c>
      <c r="M223" s="31" t="n">
        <v>0</v>
      </c>
      <c r="N223" s="21" t="inlineStr"/>
      <c r="O223" s="21" t="inlineStr"/>
      <c r="P223" s="21" t="inlineStr"/>
      <c r="Q223" s="21" t="inlineStr"/>
      <c r="R223" s="40" t="n">
        <v>500</v>
      </c>
      <c r="S223" s="21" t="inlineStr">
        <is>
          <t>CP:R 346</t>
        </is>
      </c>
      <c r="T223" s="21" t="inlineStr">
        <is>
          <t xml:space="preserve">When using this ammunition, you deal no damage with your attack. Anyone meat hit by your attack must instead attempt to beat a DV13 Resist Torture/Drugs Check. Anyone who fails is now Prone (see pg. 169) and Unconscious </t>
        </is>
      </c>
    </row>
    <row r="224">
      <c r="A224" s="21" t="inlineStr">
        <is>
          <t>Smart</t>
        </is>
      </c>
      <c r="B224" s="21" t="inlineStr">
        <is>
          <t>Патроны</t>
        </is>
      </c>
      <c r="C224" s="21" t="inlineStr"/>
      <c r="D224" s="21" t="inlineStr"/>
      <c r="E224" s="21" t="inlineStr"/>
      <c r="F224" s="31" t="n"/>
      <c r="G224" s="31" t="n"/>
      <c r="H224" s="31" t="n"/>
      <c r="I224" s="31" t="n"/>
      <c r="J224" s="31" t="n">
        <v>0</v>
      </c>
      <c r="K224" s="31" t="n">
        <v>0</v>
      </c>
      <c r="L224" s="31" t="n">
        <v>0</v>
      </c>
      <c r="M224" s="31" t="n">
        <v>0</v>
      </c>
      <c r="N224" s="21" t="inlineStr"/>
      <c r="O224" s="21" t="inlineStr"/>
      <c r="P224" s="21" t="inlineStr"/>
      <c r="Q224" s="21" t="inlineStr"/>
      <c r="R224" s="40" t="n">
        <v>500</v>
      </c>
      <c r="S224" s="21" t="inlineStr">
        <is>
          <t>CP:R 346</t>
        </is>
      </c>
      <c r="T224" s="21" t="inlineStr">
        <is>
          <t>Targeting Scope Cyberware is required in order to make use of Smart Ammunition. When fired by a User without Targeting Scope Cyberware, Smart Ammunition won't fire even when the trigger is pulled, as a safety feature. Wh</t>
        </is>
      </c>
    </row>
    <row r="225">
      <c r="A225" s="21" t="inlineStr">
        <is>
          <t>Smoke</t>
        </is>
      </c>
      <c r="B225" s="21" t="inlineStr">
        <is>
          <t>Патроны</t>
        </is>
      </c>
      <c r="C225" s="21" t="inlineStr"/>
      <c r="D225" s="21" t="inlineStr"/>
      <c r="E225" s="21" t="inlineStr"/>
      <c r="F225" s="31" t="n"/>
      <c r="G225" s="31" t="n"/>
      <c r="H225" s="31" t="n"/>
      <c r="I225" s="31" t="n"/>
      <c r="J225" s="31" t="n">
        <v>0</v>
      </c>
      <c r="K225" s="31" t="n">
        <v>0</v>
      </c>
      <c r="L225" s="31" t="n">
        <v>0</v>
      </c>
      <c r="M225" s="31" t="n">
        <v>0</v>
      </c>
      <c r="N225" s="21" t="inlineStr"/>
      <c r="O225" s="21" t="inlineStr"/>
      <c r="P225" s="21" t="inlineStr"/>
      <c r="Q225" s="21" t="inlineStr"/>
      <c r="R225" s="40" t="n">
        <v>50</v>
      </c>
      <c r="S225" s="21" t="inlineStr">
        <is>
          <t>CP:R 347</t>
        </is>
      </c>
      <c r="T225" s="21" t="inlineStr">
        <is>
          <t>When using this ammunition, you deal no damage with your attack. Obscures a 10m/yd by 10m/yd area with smoke for a minute on impact. The typical penalty for trying to perform a task obscured by smoke is -4</t>
        </is>
      </c>
    </row>
    <row r="226">
      <c r="A226" s="21" t="inlineStr">
        <is>
          <t>Teargas</t>
        </is>
      </c>
      <c r="B226" s="21" t="inlineStr">
        <is>
          <t>Патроны</t>
        </is>
      </c>
      <c r="C226" s="21" t="inlineStr"/>
      <c r="D226" s="21" t="inlineStr"/>
      <c r="E226" s="21" t="inlineStr"/>
      <c r="F226" s="31" t="n"/>
      <c r="G226" s="31" t="n"/>
      <c r="H226" s="31" t="n"/>
      <c r="I226" s="31" t="n"/>
      <c r="J226" s="31" t="n">
        <v>0</v>
      </c>
      <c r="K226" s="31" t="n">
        <v>0</v>
      </c>
      <c r="L226" s="31" t="n">
        <v>0</v>
      </c>
      <c r="M226" s="31" t="n">
        <v>0</v>
      </c>
      <c r="N226" s="21" t="inlineStr"/>
      <c r="O226" s="21" t="inlineStr"/>
      <c r="P226" s="21" t="inlineStr"/>
      <c r="Q226" s="21" t="inlineStr"/>
      <c r="R226" s="40" t="n">
        <v>50</v>
      </c>
      <c r="S226" s="21" t="inlineStr">
        <is>
          <t>CP:R 347</t>
        </is>
      </c>
      <c r="T226" s="21" t="inlineStr">
        <is>
          <t xml:space="preserve">When using this ammunition, you deal no damage with your attack. Anyone with meat eyes hit by your attack must instead attempt to beat a DV13 Resist Torture/Drugs Check. Anyone who fails suffers the Damaged Eye Critical </t>
        </is>
      </c>
    </row>
    <row r="227">
      <c r="A227" s="21" t="inlineStr">
        <is>
          <t>Air Pistol Ammo</t>
        </is>
      </c>
      <c r="B227" s="21" t="inlineStr">
        <is>
          <t>Патроны</t>
        </is>
      </c>
      <c r="C227" s="21" t="inlineStr"/>
      <c r="D227" s="21" t="inlineStr"/>
      <c r="E227" s="21" t="inlineStr"/>
      <c r="F227" s="31" t="n"/>
      <c r="G227" s="31" t="n"/>
      <c r="H227" s="31" t="n"/>
      <c r="I227" s="31" t="n"/>
      <c r="J227" s="31" t="n">
        <v>0</v>
      </c>
      <c r="K227" s="31" t="n">
        <v>0</v>
      </c>
      <c r="L227" s="31" t="n">
        <v>0</v>
      </c>
      <c r="M227" s="31" t="n">
        <v>0</v>
      </c>
      <c r="N227" s="21" t="inlineStr"/>
      <c r="O227" s="21" t="inlineStr"/>
      <c r="P227" s="21" t="inlineStr"/>
      <c r="Q227" s="21" t="inlineStr"/>
      <c r="R227" s="40" t="n">
        <v>10</v>
      </c>
      <c r="S227" s="21" t="inlineStr">
        <is>
          <t>CP:R 347</t>
        </is>
      </c>
      <c r="T227" s="21" t="inlineStr">
        <is>
          <t>Paint balls (can be filled with Acid) for Air Pistol</t>
        </is>
      </c>
    </row>
    <row r="228">
      <c r="A228" s="21" t="inlineStr">
        <is>
          <t>Battery Pack</t>
        </is>
      </c>
      <c r="B228" s="21" t="inlineStr">
        <is>
          <t>Патроны</t>
        </is>
      </c>
      <c r="C228" s="21" t="inlineStr"/>
      <c r="D228" s="21" t="inlineStr"/>
      <c r="E228" s="21" t="inlineStr"/>
      <c r="F228" s="31" t="n"/>
      <c r="G228" s="31" t="n"/>
      <c r="H228" s="31" t="n"/>
      <c r="I228" s="31" t="n"/>
      <c r="J228" s="31" t="n">
        <v>0</v>
      </c>
      <c r="K228" s="31" t="n">
        <v>0</v>
      </c>
      <c r="L228" s="31" t="n">
        <v>0</v>
      </c>
      <c r="M228" s="31" t="n">
        <v>0</v>
      </c>
      <c r="N228" s="21" t="inlineStr"/>
      <c r="O228" s="21" t="inlineStr"/>
      <c r="P228" s="21" t="inlineStr"/>
      <c r="Q228" s="21" t="inlineStr"/>
      <c r="R228" s="40" t="n">
        <v>50</v>
      </c>
      <c r="S228" s="21" t="inlineStr">
        <is>
          <t>CP:R 349</t>
        </is>
      </c>
      <c r="T228" s="21" t="inlineStr">
        <is>
          <t>Battery Pack for Stun Gun</t>
        </is>
      </c>
    </row>
    <row r="229">
      <c r="A229" s="21" t="inlineStr">
        <is>
          <t>Road Flare</t>
        </is>
      </c>
      <c r="B229" s="21" t="inlineStr">
        <is>
          <t>Патроны</t>
        </is>
      </c>
      <c r="C229" s="21" t="inlineStr"/>
      <c r="D229" s="21" t="inlineStr"/>
      <c r="E229" s="21" t="inlineStr"/>
      <c r="F229" s="31" t="n"/>
      <c r="G229" s="31" t="n"/>
      <c r="H229" s="31" t="n"/>
      <c r="I229" s="31" t="n"/>
      <c r="J229" s="31" t="n">
        <v>0</v>
      </c>
      <c r="K229" s="31" t="n">
        <v>0</v>
      </c>
      <c r="L229" s="31" t="n">
        <v>0</v>
      </c>
      <c r="M229" s="31" t="n">
        <v>0</v>
      </c>
      <c r="N229" s="21" t="inlineStr"/>
      <c r="O229" s="21" t="inlineStr"/>
      <c r="P229" s="21" t="inlineStr"/>
      <c r="Q229" s="21" t="inlineStr"/>
      <c r="R229" s="40" t="n">
        <v>10</v>
      </c>
      <c r="S229" s="21" t="inlineStr">
        <is>
          <t>CP:R 351</t>
        </is>
      </c>
      <c r="T229" s="21" t="inlineStr">
        <is>
          <t>Rockets for Flare Gun</t>
        </is>
      </c>
    </row>
    <row r="230">
      <c r="A230" s="21" t="inlineStr">
        <is>
          <t>Vial of Biotoxin</t>
        </is>
      </c>
      <c r="B230" s="21" t="inlineStr">
        <is>
          <t>Патроны</t>
        </is>
      </c>
      <c r="C230" s="21" t="inlineStr"/>
      <c r="D230" s="21" t="inlineStr"/>
      <c r="E230" s="21" t="inlineStr"/>
      <c r="F230" s="31" t="n"/>
      <c r="G230" s="31" t="n"/>
      <c r="H230" s="31" t="n"/>
      <c r="I230" s="31" t="n"/>
      <c r="J230" s="31" t="n">
        <v>0</v>
      </c>
      <c r="K230" s="31" t="n">
        <v>0</v>
      </c>
      <c r="L230" s="31" t="n">
        <v>0</v>
      </c>
      <c r="M230" s="31" t="n">
        <v>0</v>
      </c>
      <c r="N230" s="21" t="inlineStr"/>
      <c r="O230" s="21" t="inlineStr"/>
      <c r="P230" s="21" t="inlineStr"/>
      <c r="Q230" s="21" t="inlineStr"/>
      <c r="R230" s="40" t="n">
        <v>500</v>
      </c>
      <c r="S230" s="21" t="inlineStr">
        <is>
          <t>CP:R 355</t>
        </is>
      </c>
      <c r="T230" s="21" t="inlineStr">
        <is>
          <t>An entire vial of biotoxin can be smeared on any Light Melee Weapon as an Action. For the next 30 minutes after application, instead of dealing the weapon's typical damage, anyone meat hit by the biotoxin-coated Light Me</t>
        </is>
      </c>
    </row>
    <row r="231">
      <c r="A231" s="21" t="inlineStr">
        <is>
          <t>Vial of Poison</t>
        </is>
      </c>
      <c r="B231" s="21" t="inlineStr">
        <is>
          <t>Патроны</t>
        </is>
      </c>
      <c r="C231" s="21" t="inlineStr"/>
      <c r="D231" s="21" t="inlineStr"/>
      <c r="E231" s="21" t="inlineStr"/>
      <c r="F231" s="31" t="n"/>
      <c r="G231" s="31" t="n"/>
      <c r="H231" s="31" t="n"/>
      <c r="I231" s="31" t="n"/>
      <c r="J231" s="31" t="n">
        <v>0</v>
      </c>
      <c r="K231" s="31" t="n">
        <v>0</v>
      </c>
      <c r="L231" s="31" t="n">
        <v>0</v>
      </c>
      <c r="M231" s="31" t="n">
        <v>0</v>
      </c>
      <c r="N231" s="21" t="inlineStr"/>
      <c r="O231" s="21" t="inlineStr"/>
      <c r="P231" s="21" t="inlineStr"/>
      <c r="Q231" s="21" t="inlineStr"/>
      <c r="R231" s="40" t="n">
        <v>100</v>
      </c>
      <c r="S231" s="21" t="inlineStr">
        <is>
          <t>CP:R 355</t>
        </is>
      </c>
      <c r="T231" s="21" t="inlineStr">
        <is>
          <t>An entire vial of poison can be smeared on any Light Melee Weapon as an Action. For the next 30 minutes after application, instead of dealing the weapon's typical damage, anyone meat hit by the poisoned Light Melee Weapo</t>
        </is>
      </c>
    </row>
    <row r="232">
      <c r="A232" s="21" t="inlineStr">
        <is>
          <t>Improved Smart</t>
        </is>
      </c>
      <c r="B232" s="21" t="inlineStr">
        <is>
          <t>Патроны</t>
        </is>
      </c>
      <c r="C232" s="21" t="inlineStr"/>
      <c r="D232" s="21" t="inlineStr"/>
      <c r="E232" s="21" t="inlineStr"/>
      <c r="F232" s="31" t="n"/>
      <c r="G232" s="31" t="n"/>
      <c r="H232" s="31" t="n"/>
      <c r="I232" s="31" t="n"/>
      <c r="J232" s="31" t="n">
        <v>0</v>
      </c>
      <c r="K232" s="31" t="n">
        <v>0</v>
      </c>
      <c r="L232" s="31" t="n">
        <v>0</v>
      </c>
      <c r="M232" s="31" t="n">
        <v>0</v>
      </c>
      <c r="N232" s="21" t="inlineStr"/>
      <c r="O232" s="21" t="inlineStr"/>
      <c r="P232" s="21" t="inlineStr"/>
      <c r="Q232" s="21" t="inlineStr"/>
      <c r="R232" s="40" t="n">
        <v>50</v>
      </c>
      <c r="S232" s="21" t="inlineStr">
        <is>
          <t>CEMK 31</t>
        </is>
      </c>
      <c r="T232" s="21" t="inlineStr">
        <is>
          <t>Cost: € $ 50 (Costly) for 10 Arrows, Bullets, Slugs, or Shells Cost: € $ 500 (Expensive) for 1 Grenade, Rocket The best ammunition for Smart Weapons. Improved Smart Ammunition only operates in a weapon designated as a Sm</t>
        </is>
      </c>
    </row>
    <row r="233">
      <c r="A233" s="21" t="inlineStr">
        <is>
          <t>Rocks</t>
        </is>
      </c>
      <c r="B233" s="21" t="inlineStr">
        <is>
          <t>Патроны</t>
        </is>
      </c>
      <c r="C233" s="21" t="inlineStr"/>
      <c r="D233" s="21" t="inlineStr"/>
      <c r="E233" s="21" t="inlineStr"/>
      <c r="F233" s="31" t="n"/>
      <c r="G233" s="31" t="n"/>
      <c r="H233" s="31" t="n"/>
      <c r="I233" s="31" t="n"/>
      <c r="J233" s="31" t="n">
        <v>0</v>
      </c>
      <c r="K233" s="31" t="n">
        <v>0</v>
      </c>
      <c r="L233" s="31" t="n">
        <v>0</v>
      </c>
      <c r="M233" s="31" t="n">
        <v>0</v>
      </c>
      <c r="N233" s="21" t="inlineStr"/>
      <c r="O233" s="21" t="inlineStr"/>
      <c r="P233" s="21" t="inlineStr"/>
      <c r="Q233" s="21" t="inlineStr"/>
      <c r="R233" s="40" t="n">
        <v>0</v>
      </c>
      <c r="S233" s="21" t="inlineStr">
        <is>
          <t>BC 115</t>
        </is>
      </c>
      <c r="T233" s="21" t="inlineStr">
        <is>
          <t>Can be found on the ground. Or is it?</t>
        </is>
      </c>
    </row>
    <row r="234">
      <c r="A234" s="21" t="inlineStr">
        <is>
          <t>Net Launcher Net</t>
        </is>
      </c>
      <c r="B234" s="21" t="inlineStr">
        <is>
          <t>Патроны</t>
        </is>
      </c>
      <c r="C234" s="21" t="inlineStr"/>
      <c r="D234" s="21" t="inlineStr"/>
      <c r="E234" s="21" t="inlineStr"/>
      <c r="F234" s="31" t="n"/>
      <c r="G234" s="31" t="n"/>
      <c r="H234" s="31" t="n"/>
      <c r="I234" s="31" t="n"/>
      <c r="J234" s="31" t="n">
        <v>0</v>
      </c>
      <c r="K234" s="31" t="n">
        <v>0</v>
      </c>
      <c r="L234" s="31" t="n">
        <v>0</v>
      </c>
      <c r="M234" s="31" t="n">
        <v>0</v>
      </c>
      <c r="N234" s="21" t="inlineStr"/>
      <c r="O234" s="21" t="inlineStr"/>
      <c r="P234" s="21" t="inlineStr"/>
      <c r="Q234" s="21" t="inlineStr"/>
      <c r="R234" s="40" t="n">
        <v>50</v>
      </c>
      <c r="S234" s="21" t="inlineStr">
        <is>
          <t>BC 21, 104</t>
        </is>
      </c>
      <c r="T234" s="21" t="inlineStr">
        <is>
          <t>Replacement net for Popup Net Launcher and Faisal’s Dead or Alive</t>
        </is>
      </c>
    </row>
    <row r="235">
      <c r="A235" s="21" t="inlineStr">
        <is>
          <t>Doberman 500 Marking Scent</t>
        </is>
      </c>
      <c r="B235" s="21" t="inlineStr">
        <is>
          <t>Патроны</t>
        </is>
      </c>
      <c r="C235" s="21" t="inlineStr"/>
      <c r="D235" s="21" t="inlineStr"/>
      <c r="E235" s="21" t="inlineStr"/>
      <c r="F235" s="31" t="n"/>
      <c r="G235" s="31" t="n"/>
      <c r="H235" s="31" t="n"/>
      <c r="I235" s="31" t="n"/>
      <c r="J235" s="31" t="n">
        <v>0</v>
      </c>
      <c r="K235" s="31" t="n">
        <v>0</v>
      </c>
      <c r="L235" s="31" t="n">
        <v>0</v>
      </c>
      <c r="M235" s="31" t="n">
        <v>0</v>
      </c>
      <c r="N235" s="21" t="inlineStr"/>
      <c r="O235" s="21" t="inlineStr"/>
      <c r="P235" s="21" t="inlineStr"/>
      <c r="Q235" s="21" t="inlineStr"/>
      <c r="R235" s="40" t="n">
        <v>50</v>
      </c>
      <c r="S235" s="21" t="inlineStr">
        <is>
          <t>BC 44</t>
        </is>
      </c>
      <c r="T235" s="21" t="inlineStr">
        <is>
          <t>Doberman 500 Marking Scent is a unique form of ammunition for the Air Pistol (see CP:R page 347). It does no damage but, instead, marks the target with a scent they can’t wash off except by dousing themselves in alcohol.</t>
        </is>
      </c>
    </row>
    <row r="236">
      <c r="A236" s="21" t="inlineStr">
        <is>
          <t>Arasaka Acid/Fire/Wound Salt</t>
        </is>
      </c>
      <c r="B236" s="21" t="inlineStr">
        <is>
          <t>Патроны</t>
        </is>
      </c>
      <c r="C236" s="21" t="inlineStr"/>
      <c r="D236" s="21" t="inlineStr"/>
      <c r="E236" s="21" t="inlineStr"/>
      <c r="F236" s="31" t="n"/>
      <c r="G236" s="31" t="n"/>
      <c r="H236" s="31" t="n"/>
      <c r="I236" s="31" t="n"/>
      <c r="J236" s="31" t="n">
        <v>0</v>
      </c>
      <c r="K236" s="31" t="n">
        <v>0</v>
      </c>
      <c r="L236" s="31" t="n">
        <v>0</v>
      </c>
      <c r="M236" s="31" t="n">
        <v>0</v>
      </c>
      <c r="N236" s="21" t="inlineStr"/>
      <c r="O236" s="21" t="inlineStr"/>
      <c r="P236" s="21" t="inlineStr"/>
      <c r="Q236" s="21" t="inlineStr"/>
      <c r="R236" s="40" t="n">
        <v>100</v>
      </c>
      <c r="S236" s="21" t="inlineStr">
        <is>
          <t>BC 91</t>
        </is>
      </c>
      <c r="T236" s="21" t="inlineStr">
        <is>
          <t>When coated with Arasaka Fire, whenever a user deals damage to a target through their armor, they ignite the target. Until the target spends an Action to put themselves out, they take 2 damage to their HP whenever they e</t>
        </is>
      </c>
    </row>
    <row r="237">
      <c r="A237" s="21" t="inlineStr">
        <is>
          <t>ModBall (Dazzle Dazzle)</t>
        </is>
      </c>
      <c r="B237" s="21" t="inlineStr">
        <is>
          <t>Патроны</t>
        </is>
      </c>
      <c r="C237" s="21" t="inlineStr"/>
      <c r="D237" s="21" t="inlineStr"/>
      <c r="E237" s="21" t="inlineStr"/>
      <c r="F237" s="31" t="n"/>
      <c r="G237" s="31" t="n"/>
      <c r="H237" s="31" t="n"/>
      <c r="I237" s="31" t="n"/>
      <c r="J237" s="31" t="n">
        <v>0</v>
      </c>
      <c r="K237" s="31" t="n">
        <v>0</v>
      </c>
      <c r="L237" s="31" t="n">
        <v>0</v>
      </c>
      <c r="M237" s="31" t="n">
        <v>0</v>
      </c>
      <c r="N237" s="21" t="inlineStr"/>
      <c r="O237" s="21" t="inlineStr"/>
      <c r="P237" s="21" t="inlineStr"/>
      <c r="Q237" s="21" t="inlineStr"/>
      <c r="R237" s="40" t="n">
        <v>10</v>
      </c>
      <c r="S237" s="21" t="inlineStr">
        <is>
          <t>DL:12Cute 5</t>
        </is>
      </c>
      <c r="T237" s="21" t="inlineStr">
        <is>
          <t>Dazzle Dazzle ModBall: Acts as Flashbang Ammunition (see CP:R page 346) but only for a single target hit by a successful attack. This will also ignite a target hit by a Splashie ModBall.</t>
        </is>
      </c>
    </row>
    <row r="238">
      <c r="A238" s="21" t="inlineStr">
        <is>
          <t>ModBall (Ouchie)</t>
        </is>
      </c>
      <c r="B238" s="21" t="inlineStr">
        <is>
          <t>Патроны</t>
        </is>
      </c>
      <c r="C238" s="21" t="inlineStr"/>
      <c r="D238" s="21" t="inlineStr"/>
      <c r="E238" s="21" t="inlineStr"/>
      <c r="F238" s="31" t="n"/>
      <c r="G238" s="31" t="n"/>
      <c r="H238" s="31" t="n"/>
      <c r="I238" s="31" t="n"/>
      <c r="J238" s="31" t="n">
        <v>0</v>
      </c>
      <c r="K238" s="31" t="n">
        <v>0</v>
      </c>
      <c r="L238" s="31" t="n">
        <v>0</v>
      </c>
      <c r="M238" s="31" t="n">
        <v>0</v>
      </c>
      <c r="N238" s="21" t="inlineStr"/>
      <c r="O238" s="21" t="inlineStr"/>
      <c r="P238" s="21" t="inlineStr"/>
      <c r="Q238" s="21" t="inlineStr"/>
      <c r="R238" s="40" t="n">
        <v>10</v>
      </c>
      <c r="S238" s="21" t="inlineStr">
        <is>
          <t>DL:12 Cute 5</t>
        </is>
      </c>
      <c r="T238" s="21" t="inlineStr">
        <is>
          <t>Acts as Poison Ammunition (see CP:R page 346).</t>
        </is>
      </c>
    </row>
    <row r="239">
      <c r="A239" s="21" t="inlineStr">
        <is>
          <t>ModBall (Mega Ouchie)</t>
        </is>
      </c>
      <c r="B239" s="21" t="inlineStr">
        <is>
          <t>Патроны</t>
        </is>
      </c>
      <c r="C239" s="21" t="inlineStr"/>
      <c r="D239" s="21" t="inlineStr"/>
      <c r="E239" s="21" t="inlineStr"/>
      <c r="F239" s="31" t="n"/>
      <c r="G239" s="31" t="n"/>
      <c r="H239" s="31" t="n"/>
      <c r="I239" s="31" t="n"/>
      <c r="J239" s="31" t="n">
        <v>0</v>
      </c>
      <c r="K239" s="31" t="n">
        <v>0</v>
      </c>
      <c r="L239" s="31" t="n">
        <v>0</v>
      </c>
      <c r="M239" s="31" t="n">
        <v>0</v>
      </c>
      <c r="N239" s="21" t="inlineStr"/>
      <c r="O239" s="21" t="inlineStr"/>
      <c r="P239" s="21" t="inlineStr"/>
      <c r="Q239" s="21" t="inlineStr"/>
      <c r="R239" s="40" t="n">
        <v>20</v>
      </c>
      <c r="S239" s="21" t="inlineStr">
        <is>
          <t>DL:12 Cute 5</t>
        </is>
      </c>
      <c r="T239" s="21" t="inlineStr">
        <is>
          <t>Acts as Biotoxin Ammunition (see CP:R page 345).</t>
        </is>
      </c>
    </row>
    <row r="240">
      <c r="A240" s="21" t="inlineStr">
        <is>
          <t>ModBall (Slippy)</t>
        </is>
      </c>
      <c r="B240" s="21" t="inlineStr">
        <is>
          <t>Патроны</t>
        </is>
      </c>
      <c r="C240" s="21" t="inlineStr"/>
      <c r="D240" s="21" t="inlineStr"/>
      <c r="E240" s="21" t="inlineStr"/>
      <c r="F240" s="31" t="n"/>
      <c r="G240" s="31" t="n"/>
      <c r="H240" s="31" t="n"/>
      <c r="I240" s="31" t="n"/>
      <c r="J240" s="31" t="n">
        <v>0</v>
      </c>
      <c r="K240" s="31" t="n">
        <v>0</v>
      </c>
      <c r="L240" s="31" t="n">
        <v>0</v>
      </c>
      <c r="M240" s="31" t="n">
        <v>0</v>
      </c>
      <c r="N240" s="21" t="inlineStr"/>
      <c r="O240" s="21" t="inlineStr"/>
      <c r="P240" s="21" t="inlineStr"/>
      <c r="Q240" s="21" t="inlineStr"/>
      <c r="R240" s="40" t="n">
        <v>5</v>
      </c>
      <c r="S240" s="21" t="inlineStr">
        <is>
          <t>DL:12 Cute 5</t>
        </is>
      </c>
      <c r="T240" s="21" t="inlineStr">
        <is>
          <t>Slippy ModBall: Balls filled with a slippery lubricant. If a Slippy ModBall is fired at a target they take no damage but gain a +1 Bonus to Contortionist Checks and to Brawling Checks to avoid or escape a grapple. If a S</t>
        </is>
      </c>
    </row>
    <row r="241">
      <c r="A241" s="21" t="inlineStr">
        <is>
          <t>ModBall (Splashie)</t>
        </is>
      </c>
      <c r="B241" s="21" t="inlineStr">
        <is>
          <t>Патроны</t>
        </is>
      </c>
      <c r="C241" s="21" t="inlineStr"/>
      <c r="D241" s="21" t="inlineStr"/>
      <c r="E241" s="21" t="inlineStr"/>
      <c r="F241" s="31" t="n"/>
      <c r="G241" s="31" t="n"/>
      <c r="H241" s="31" t="n"/>
      <c r="I241" s="31" t="n"/>
      <c r="J241" s="31" t="n">
        <v>0</v>
      </c>
      <c r="K241" s="31" t="n">
        <v>0</v>
      </c>
      <c r="L241" s="31" t="n">
        <v>0</v>
      </c>
      <c r="M241" s="31" t="n">
        <v>0</v>
      </c>
      <c r="N241" s="21" t="inlineStr"/>
      <c r="O241" s="21" t="inlineStr"/>
      <c r="P241" s="21" t="inlineStr"/>
      <c r="Q241" s="21" t="inlineStr"/>
      <c r="R241" s="40" t="n">
        <v>5</v>
      </c>
      <c r="S241" s="21" t="inlineStr">
        <is>
          <t>DL:12 Cute 5</t>
        </is>
      </c>
      <c r="T241" s="21" t="inlineStr">
        <is>
          <t>Balls of paint available in a variety of colors. This ammunition does no damage, but the paint is highly flammable. If a target splattered with the paint is exposed to an ignition source, they are set on fire. Until an A</t>
        </is>
      </c>
    </row>
    <row r="242">
      <c r="A242" s="21" t="inlineStr">
        <is>
          <t>Janus Hex Heavy Scent Ball</t>
        </is>
      </c>
      <c r="B242" s="21" t="inlineStr">
        <is>
          <t>Патроны</t>
        </is>
      </c>
      <c r="C242" s="21" t="inlineStr"/>
      <c r="D242" s="21" t="inlineStr"/>
      <c r="E242" s="21" t="inlineStr"/>
      <c r="F242" s="31" t="n"/>
      <c r="G242" s="31" t="n"/>
      <c r="H242" s="31" t="n"/>
      <c r="I242" s="31" t="n"/>
      <c r="J242" s="31" t="n">
        <v>0</v>
      </c>
      <c r="K242" s="31" t="n">
        <v>0</v>
      </c>
      <c r="L242" s="31" t="n">
        <v>0</v>
      </c>
      <c r="M242" s="31" t="n">
        <v>0</v>
      </c>
      <c r="N242" s="21" t="inlineStr"/>
      <c r="O242" s="21" t="inlineStr"/>
      <c r="P242" s="21" t="inlineStr"/>
      <c r="Q242" s="21" t="inlineStr"/>
      <c r="R242" s="40" t="n">
        <v>20</v>
      </c>
      <c r="S242" s="21" t="inlineStr">
        <is>
          <t>DL:12 Cute 5</t>
        </is>
      </c>
      <c r="T242" s="21" t="inlineStr">
        <is>
          <t xml:space="preserve">Come in packs of 4, costing 20eb (Costly) each. Every Scent Ball is marked with the face of one of the idol groups four members. This proprietary ammunition cannot be modified or fabricated by a Tech unless they possess </t>
        </is>
      </c>
    </row>
    <row r="243">
      <c r="A243" s="21" t="inlineStr">
        <is>
          <t>Malorian Sub-Flechette Ammo</t>
        </is>
      </c>
      <c r="B243" s="21" t="inlineStr">
        <is>
          <t>Патроны</t>
        </is>
      </c>
      <c r="C243" s="21" t="inlineStr"/>
      <c r="D243" s="21" t="inlineStr"/>
      <c r="E243" s="21" t="inlineStr"/>
      <c r="F243" s="31" t="n"/>
      <c r="G243" s="31" t="n"/>
      <c r="H243" s="31" t="n"/>
      <c r="I243" s="31" t="n"/>
      <c r="J243" s="31" t="n">
        <v>0</v>
      </c>
      <c r="K243" s="31" t="n">
        <v>0</v>
      </c>
      <c r="L243" s="31" t="n">
        <v>0</v>
      </c>
      <c r="M243" s="31" t="n">
        <v>0</v>
      </c>
      <c r="N243" s="21" t="inlineStr"/>
      <c r="O243" s="21" t="inlineStr"/>
      <c r="P243" s="21" t="inlineStr"/>
      <c r="Q243" s="21" t="inlineStr"/>
      <c r="R243" s="40" t="n">
        <v>100</v>
      </c>
      <c r="S243" s="21" t="inlineStr">
        <is>
          <t>DL:12Gun 4 · IR2 60</t>
        </is>
      </c>
      <c r="T243" s="21" t="inlineStr">
        <is>
          <t>Unique Armor-Piercing Ammunition which ablates armor by 4 instead of 1 whenever you would ablate armor</t>
        </is>
      </c>
    </row>
    <row r="244">
      <c r="A244" s="21" t="inlineStr">
        <is>
          <t>Nova 757 Ammo</t>
        </is>
      </c>
      <c r="B244" s="21" t="inlineStr">
        <is>
          <t>Патроны</t>
        </is>
      </c>
      <c r="C244" s="21" t="inlineStr"/>
      <c r="D244" s="21" t="inlineStr"/>
      <c r="E244" s="21" t="inlineStr"/>
      <c r="F244" s="31" t="n"/>
      <c r="G244" s="31" t="n"/>
      <c r="H244" s="31" t="n"/>
      <c r="I244" s="31" t="n"/>
      <c r="J244" s="31" t="n">
        <v>0</v>
      </c>
      <c r="K244" s="31" t="n">
        <v>0</v>
      </c>
      <c r="L244" s="31" t="n">
        <v>0</v>
      </c>
      <c r="M244" s="31" t="n">
        <v>0</v>
      </c>
      <c r="N244" s="21" t="inlineStr"/>
      <c r="O244" s="21" t="inlineStr"/>
      <c r="P244" s="21" t="inlineStr"/>
      <c r="Q244" s="21" t="inlineStr"/>
      <c r="R244" s="40" t="n">
        <v>500</v>
      </c>
      <c r="S244" s="21" t="inlineStr">
        <is>
          <t>DL:12Gun 5 · DGD 145</t>
        </is>
      </c>
      <c r="T244" s="21" t="inlineStr">
        <is>
          <t>Smart Ammunition. Bought in increments of 18 instead of 10. Can only be fired by Nova Model 757 Cityhunter</t>
        </is>
      </c>
    </row>
    <row r="245">
      <c r="A245" s="21" t="inlineStr">
        <is>
          <t>Bullet to Slug Adapter Casings</t>
        </is>
      </c>
      <c r="B245" s="21" t="inlineStr">
        <is>
          <t>Патроны</t>
        </is>
      </c>
      <c r="C245" s="21" t="inlineStr"/>
      <c r="D245" s="21" t="inlineStr"/>
      <c r="E245" s="21" t="inlineStr"/>
      <c r="F245" s="31" t="n"/>
      <c r="G245" s="31" t="n"/>
      <c r="H245" s="31" t="n"/>
      <c r="I245" s="31" t="n"/>
      <c r="J245" s="31" t="n">
        <v>0</v>
      </c>
      <c r="K245" s="31" t="n">
        <v>0</v>
      </c>
      <c r="L245" s="31" t="n">
        <v>0</v>
      </c>
      <c r="M245" s="31" t="n">
        <v>0</v>
      </c>
      <c r="N245" s="21" t="inlineStr"/>
      <c r="O245" s="21" t="inlineStr"/>
      <c r="P245" s="21" t="inlineStr"/>
      <c r="Q245" s="21" t="inlineStr"/>
      <c r="R245" s="40" t="n">
        <v>100</v>
      </c>
      <c r="S245" s="21" t="inlineStr">
        <is>
          <t>DL:BC+ 3 · IR4 11</t>
        </is>
      </c>
      <c r="T245" s="21" t="inlineStr">
        <is>
          <t>These solid machined metal adapter casings allow you to fire any bullet ammunition from any weapon capable of firing shotgun slugs. When converted using adapter casings, the converted bullets act as if they are shotgun s</t>
        </is>
      </c>
    </row>
    <row r="246">
      <c r="A246" s="21" t="inlineStr">
        <is>
          <t>Junk Ammo</t>
        </is>
      </c>
      <c r="B246" s="21" t="inlineStr">
        <is>
          <t>Патроны</t>
        </is>
      </c>
      <c r="C246" s="21" t="inlineStr"/>
      <c r="D246" s="21" t="inlineStr"/>
      <c r="E246" s="21" t="inlineStr"/>
      <c r="F246" s="31" t="n"/>
      <c r="G246" s="31" t="n"/>
      <c r="H246" s="31" t="n"/>
      <c r="I246" s="31" t="n"/>
      <c r="J246" s="31" t="n">
        <v>0</v>
      </c>
      <c r="K246" s="31" t="n">
        <v>0</v>
      </c>
      <c r="L246" s="31" t="n">
        <v>0</v>
      </c>
      <c r="M246" s="31" t="n">
        <v>0</v>
      </c>
      <c r="N246" s="21" t="inlineStr"/>
      <c r="O246" s="21" t="inlineStr"/>
      <c r="P246" s="21" t="inlineStr"/>
      <c r="Q246" s="21" t="inlineStr"/>
      <c r="R246" s="40" t="n">
        <v>10</v>
      </c>
      <c r="S246" s="21" t="inlineStr">
        <is>
          <t>DL:BC+ 3 · DGD 147 · IR4 11</t>
        </is>
      </c>
      <c r="T246" s="21" t="inlineStr">
        <is>
          <t>“These can get a lot done on a budget. Also good for target practice, but I think I heard Molly mention that already. You did already win a bunch too, so I’d be surprised if you wanted more. Yeah, we can probably move on</t>
        </is>
      </c>
    </row>
    <row r="247">
      <c r="A247" s="21" t="inlineStr">
        <is>
          <t>Small Game Ammo</t>
        </is>
      </c>
      <c r="B247" s="21" t="inlineStr">
        <is>
          <t>Патроны</t>
        </is>
      </c>
      <c r="C247" s="21" t="inlineStr"/>
      <c r="D247" s="21" t="inlineStr"/>
      <c r="E247" s="21" t="inlineStr"/>
      <c r="F247" s="31" t="n"/>
      <c r="G247" s="31" t="n"/>
      <c r="H247" s="31" t="n"/>
      <c r="I247" s="31" t="n"/>
      <c r="J247" s="31" t="n">
        <v>0</v>
      </c>
      <c r="K247" s="31" t="n">
        <v>0</v>
      </c>
      <c r="L247" s="31" t="n">
        <v>0</v>
      </c>
      <c r="M247" s="31" t="n">
        <v>0</v>
      </c>
      <c r="N247" s="21" t="inlineStr"/>
      <c r="O247" s="21" t="inlineStr"/>
      <c r="P247" s="21" t="inlineStr"/>
      <c r="Q247" s="21" t="inlineStr"/>
      <c r="R247" s="40" t="n">
        <v>10</v>
      </c>
      <c r="S247" s="21" t="inlineStr">
        <is>
          <t>DL:BC+ 3 · IR4 11</t>
        </is>
      </c>
      <c r="T247" s="21" t="inlineStr">
        <is>
          <t>A weapon loaded with Small Game Ammunition deals 2d6 less damage (minimum 1d6) with each bullet fired in Single Shot and the Autofire Rating of any weapon firing Small Game Ammunition is reduced by 1 to a minimum of Auto</t>
        </is>
      </c>
    </row>
    <row r="248">
      <c r="A248" s="21" t="inlineStr">
        <is>
          <t>Big Dreem Ammo Brick</t>
        </is>
      </c>
      <c r="B248" s="21" t="inlineStr">
        <is>
          <t>Патроны</t>
        </is>
      </c>
      <c r="C248" s="21" t="inlineStr"/>
      <c r="D248" s="21" t="inlineStr"/>
      <c r="E248" s="21" t="inlineStr"/>
      <c r="F248" s="31" t="n"/>
      <c r="G248" s="31" t="n"/>
      <c r="H248" s="31" t="n"/>
      <c r="I248" s="31" t="n"/>
      <c r="J248" s="31" t="n">
        <v>0</v>
      </c>
      <c r="K248" s="31" t="n">
        <v>0</v>
      </c>
      <c r="L248" s="31" t="n">
        <v>0</v>
      </c>
      <c r="M248" s="31" t="n">
        <v>0</v>
      </c>
      <c r="N248" s="21" t="inlineStr"/>
      <c r="O248" s="21" t="inlineStr"/>
      <c r="P248" s="21" t="inlineStr"/>
      <c r="Q248" s="21" t="inlineStr"/>
      <c r="R248" s="40" t="n">
        <v>20</v>
      </c>
      <c r="S248" s="21" t="inlineStr">
        <is>
          <t>DL:BC+ 3</t>
        </is>
      </c>
      <c r="T248" s="21" t="inlineStr">
        <is>
          <t>Proprietary 30 round basic ammunition bricks</t>
        </is>
      </c>
    </row>
    <row r="249">
      <c r="A249" s="21" t="inlineStr">
        <is>
          <t>Stickball Sanctioned Rubber</t>
        </is>
      </c>
      <c r="B249" s="21" t="inlineStr">
        <is>
          <t>Патроны</t>
        </is>
      </c>
      <c r="C249" s="21" t="inlineStr"/>
      <c r="D249" s="21" t="inlineStr"/>
      <c r="E249" s="21" t="inlineStr"/>
      <c r="F249" s="31" t="n"/>
      <c r="G249" s="31" t="n"/>
      <c r="H249" s="31" t="n"/>
      <c r="I249" s="31" t="n"/>
      <c r="J249" s="31" t="n">
        <v>0</v>
      </c>
      <c r="K249" s="31" t="n">
        <v>0</v>
      </c>
      <c r="L249" s="31" t="n">
        <v>0</v>
      </c>
      <c r="M249" s="31" t="n">
        <v>0</v>
      </c>
      <c r="N249" s="21" t="inlineStr"/>
      <c r="O249" s="21" t="inlineStr"/>
      <c r="P249" s="21" t="inlineStr"/>
      <c r="Q249" s="21" t="inlineStr"/>
      <c r="R249" s="40" t="n">
        <v>10</v>
      </c>
      <c r="S249" s="21" t="inlineStr">
        <is>
          <t>DL:Stick 4 · IR4 34</t>
        </is>
      </c>
      <c r="T249" s="21" t="inlineStr">
        <is>
          <t>Rubber Ammunition upgraded by a Tech for use in Stickball matches. Tech Upgraded. Damage dealt using this ammunition cannot cause a Critical Injury. Additionally, If damage dealt using this ammunition would reduce a targ</t>
        </is>
      </c>
    </row>
    <row r="250">
      <c r="A250" s="21" t="inlineStr">
        <is>
          <t>SlamDance ElectroMag Basic</t>
        </is>
      </c>
      <c r="B250" s="21" t="inlineStr">
        <is>
          <t>Патроны</t>
        </is>
      </c>
      <c r="C250" s="21" t="inlineStr"/>
      <c r="D250" s="21" t="inlineStr"/>
      <c r="E250" s="21" t="inlineStr"/>
      <c r="F250" s="31" t="n"/>
      <c r="G250" s="31" t="n"/>
      <c r="H250" s="31" t="n"/>
      <c r="I250" s="31" t="n"/>
      <c r="J250" s="31" t="n">
        <v>0</v>
      </c>
      <c r="K250" s="31" t="n">
        <v>0</v>
      </c>
      <c r="L250" s="31" t="n">
        <v>0</v>
      </c>
      <c r="M250" s="31" t="n">
        <v>0</v>
      </c>
      <c r="N250" s="21" t="inlineStr"/>
      <c r="O250" s="21" t="inlineStr"/>
      <c r="P250" s="21" t="inlineStr"/>
      <c r="Q250" s="21" t="inlineStr"/>
      <c r="R250" s="40" t="n">
        <v>10</v>
      </c>
      <c r="S250" s="21" t="inlineStr">
        <is>
          <t>DL:TT 9</t>
        </is>
      </c>
      <c r="T250" s="21" t="inlineStr">
        <is>
          <t>This ammunition must be purchased specifically for the weapon and costs the same as its non-magnetic counterparts. Each time the user makes an Attack Check with the ElectroMag, they choose if the ammunition acts as a Sho</t>
        </is>
      </c>
    </row>
    <row r="251">
      <c r="A251" s="21" t="inlineStr">
        <is>
          <t>SlamDance ElectroMag Incendiary</t>
        </is>
      </c>
      <c r="B251" s="21" t="inlineStr">
        <is>
          <t>Патроны</t>
        </is>
      </c>
      <c r="C251" s="21" t="inlineStr"/>
      <c r="D251" s="21" t="inlineStr"/>
      <c r="E251" s="21" t="inlineStr"/>
      <c r="F251" s="31" t="n"/>
      <c r="G251" s="31" t="n"/>
      <c r="H251" s="31" t="n"/>
      <c r="I251" s="31" t="n"/>
      <c r="J251" s="31" t="n">
        <v>0</v>
      </c>
      <c r="K251" s="31" t="n">
        <v>0</v>
      </c>
      <c r="L251" s="31" t="n">
        <v>0</v>
      </c>
      <c r="M251" s="31" t="n">
        <v>0</v>
      </c>
      <c r="N251" s="21" t="inlineStr"/>
      <c r="O251" s="21" t="inlineStr"/>
      <c r="P251" s="21" t="inlineStr"/>
      <c r="Q251" s="21" t="inlineStr"/>
      <c r="R251" s="40" t="n">
        <v>100</v>
      </c>
      <c r="S251" s="21" t="inlineStr">
        <is>
          <t>DL:TT 9</t>
        </is>
      </c>
      <c r="T251" s="21" t="inlineStr">
        <is>
          <t>This ammunition must be purchased specifically for the weapon and costs the same as its non-magnetic counterparts. Each time the user makes an Attack Check with the ElectroMag, they choose if the ammunition acts as a Sho</t>
        </is>
      </c>
    </row>
    <row r="252">
      <c r="A252" s="21" t="inlineStr">
        <is>
          <t>Sternmeyer M-02 Ammo</t>
        </is>
      </c>
      <c r="B252" s="21" t="inlineStr">
        <is>
          <t>Патроны</t>
        </is>
      </c>
      <c r="C252" s="21" t="inlineStr"/>
      <c r="D252" s="21" t="inlineStr"/>
      <c r="E252" s="21" t="inlineStr"/>
      <c r="F252" s="31" t="n"/>
      <c r="G252" s="31" t="n"/>
      <c r="H252" s="31" t="n"/>
      <c r="I252" s="31" t="n"/>
      <c r="J252" s="31" t="n">
        <v>0</v>
      </c>
      <c r="K252" s="31" t="n">
        <v>0</v>
      </c>
      <c r="L252" s="31" t="n">
        <v>0</v>
      </c>
      <c r="M252" s="31" t="n">
        <v>0</v>
      </c>
      <c r="N252" s="21" t="inlineStr"/>
      <c r="O252" s="21" t="inlineStr"/>
      <c r="P252" s="21" t="inlineStr"/>
      <c r="Q252" s="21" t="inlineStr"/>
      <c r="R252" s="40" t="n">
        <v>500</v>
      </c>
      <c r="S252" s="21" t="inlineStr">
        <is>
          <t>DL:WG 5 · IR3 29</t>
        </is>
      </c>
      <c r="T252" s="21" t="inlineStr">
        <is>
          <t>Proprietary tround ammunition, which costs 500eb (Expensive) for a drum of 80 Armor Piercing shots</t>
        </is>
      </c>
    </row>
    <row r="253">
      <c r="A253" s="21" t="inlineStr">
        <is>
          <t>Burrowing</t>
        </is>
      </c>
      <c r="B253" s="21" t="inlineStr">
        <is>
          <t>Патроны</t>
        </is>
      </c>
      <c r="C253" s="21" t="inlineStr"/>
      <c r="D253" s="21" t="inlineStr"/>
      <c r="E253" s="21" t="inlineStr"/>
      <c r="F253" s="31" t="n"/>
      <c r="G253" s="31" t="n"/>
      <c r="H253" s="31" t="n"/>
      <c r="I253" s="31" t="n"/>
      <c r="J253" s="31" t="n">
        <v>0</v>
      </c>
      <c r="K253" s="31" t="n">
        <v>0</v>
      </c>
      <c r="L253" s="31" t="n">
        <v>0</v>
      </c>
      <c r="M253" s="31" t="n">
        <v>0</v>
      </c>
      <c r="N253" s="21" t="inlineStr"/>
      <c r="O253" s="21" t="inlineStr"/>
      <c r="P253" s="21" t="inlineStr"/>
      <c r="Q253" s="21" t="inlineStr"/>
      <c r="R253" s="40" t="n">
        <v>40</v>
      </c>
      <c r="S253" s="21" t="inlineStr">
        <is>
          <t>IR5 120</t>
        </is>
      </c>
      <c r="T253" s="21" t="inlineStr">
        <is>
          <t xml:space="preserve">Say you really don’t like someone, and you want to make this very clear to them. Swap out your magazine for one with some of these. The medical bills alone will make them wish you had bought explosive ammunition from me </t>
        </is>
      </c>
    </row>
    <row r="254">
      <c r="A254" s="21" t="inlineStr">
        <is>
          <t>Explosive</t>
        </is>
      </c>
      <c r="B254" s="21" t="inlineStr">
        <is>
          <t>Патроны</t>
        </is>
      </c>
      <c r="C254" s="21" t="inlineStr"/>
      <c r="D254" s="21" t="inlineStr"/>
      <c r="E254" s="21" t="inlineStr"/>
      <c r="F254" s="31" t="n"/>
      <c r="G254" s="31" t="n"/>
      <c r="H254" s="31" t="n"/>
      <c r="I254" s="31" t="n"/>
      <c r="J254" s="31" t="n">
        <v>0</v>
      </c>
      <c r="K254" s="31" t="n">
        <v>0</v>
      </c>
      <c r="L254" s="31" t="n">
        <v>0</v>
      </c>
      <c r="M254" s="31" t="n">
        <v>0</v>
      </c>
      <c r="N254" s="21" t="inlineStr"/>
      <c r="O254" s="21" t="inlineStr"/>
      <c r="P254" s="21" t="inlineStr"/>
      <c r="Q254" s="21" t="inlineStr"/>
      <c r="R254" s="40" t="n">
        <v>100</v>
      </c>
      <c r="S254" s="21" t="inlineStr">
        <is>
          <t>IR5 120</t>
        </is>
      </c>
      <c r="T254" s="21" t="inlineStr">
        <is>
          <t>KaBOOM! This ammunition will send body parts flying clean off into the next district over when you sweep your street. It’s a whole new way to celebrate the fourth of July every single day of the year. It even comes in ar</t>
        </is>
      </c>
    </row>
    <row r="255">
      <c r="A255" s="21" t="inlineStr">
        <is>
          <t>High Precision</t>
        </is>
      </c>
      <c r="B255" s="21" t="inlineStr">
        <is>
          <t>Патроны</t>
        </is>
      </c>
      <c r="C255" s="21" t="inlineStr"/>
      <c r="D255" s="21" t="inlineStr"/>
      <c r="E255" s="21" t="inlineStr"/>
      <c r="F255" s="31" t="n"/>
      <c r="G255" s="31" t="n"/>
      <c r="H255" s="31" t="n"/>
      <c r="I255" s="31" t="n"/>
      <c r="J255" s="31" t="n">
        <v>0</v>
      </c>
      <c r="K255" s="31" t="n">
        <v>0</v>
      </c>
      <c r="L255" s="31" t="n">
        <v>0</v>
      </c>
      <c r="M255" s="31" t="n">
        <v>0</v>
      </c>
      <c r="N255" s="21" t="inlineStr"/>
      <c r="O255" s="21" t="inlineStr"/>
      <c r="P255" s="21" t="inlineStr"/>
      <c r="Q255" s="21" t="inlineStr"/>
      <c r="R255" s="40" t="n">
        <v>100</v>
      </c>
      <c r="S255" s="21" t="inlineStr">
        <is>
          <t>IR5 120</t>
        </is>
      </c>
      <c r="T255" s="21" t="inlineStr">
        <is>
          <t>I carry these because people ask for them specifically. Confident mercenary types, like yourself, prefer them for stuff like low drag, tight shot groupings, apogee, coriolis effect, bullet harmonics, stuff like that. I d</t>
        </is>
      </c>
    </row>
    <row r="256">
      <c r="A256" s="21" t="inlineStr">
        <is>
          <t>High Velocity</t>
        </is>
      </c>
      <c r="B256" s="21" t="inlineStr">
        <is>
          <t>Патроны</t>
        </is>
      </c>
      <c r="C256" s="21" t="inlineStr"/>
      <c r="D256" s="21" t="inlineStr"/>
      <c r="E256" s="21" t="inlineStr"/>
      <c r="F256" s="31" t="n"/>
      <c r="G256" s="31" t="n"/>
      <c r="H256" s="31" t="n"/>
      <c r="I256" s="31" t="n"/>
      <c r="J256" s="31" t="n">
        <v>0</v>
      </c>
      <c r="K256" s="31" t="n">
        <v>0</v>
      </c>
      <c r="L256" s="31" t="n">
        <v>0</v>
      </c>
      <c r="M256" s="31" t="n">
        <v>0</v>
      </c>
      <c r="N256" s="21" t="inlineStr"/>
      <c r="O256" s="21" t="inlineStr"/>
      <c r="P256" s="21" t="inlineStr"/>
      <c r="Q256" s="21" t="inlineStr"/>
      <c r="R256" s="40" t="n">
        <v>40</v>
      </c>
      <c r="S256" s="21" t="inlineStr">
        <is>
          <t>IR5 120</t>
        </is>
      </c>
      <c r="T256" s="21" t="inlineStr">
        <is>
          <t>These are trusted by real professionals, these ones right here. I forget their names, but you know the ones. You can hardly see these things come out the barrel, they’re going so fast. Even the finest speedware isn’t goi</t>
        </is>
      </c>
    </row>
    <row r="257">
      <c r="A257" s="21" t="inlineStr">
        <is>
          <t>Hyper Expansive</t>
        </is>
      </c>
      <c r="B257" s="21" t="inlineStr">
        <is>
          <t>Патроны</t>
        </is>
      </c>
      <c r="C257" s="21" t="inlineStr"/>
      <c r="D257" s="21" t="inlineStr"/>
      <c r="E257" s="21" t="inlineStr"/>
      <c r="F257" s="31" t="n"/>
      <c r="G257" s="31" t="n"/>
      <c r="H257" s="31" t="n"/>
      <c r="I257" s="31" t="n"/>
      <c r="J257" s="31" t="n">
        <v>0</v>
      </c>
      <c r="K257" s="31" t="n">
        <v>0</v>
      </c>
      <c r="L257" s="31" t="n">
        <v>0</v>
      </c>
      <c r="M257" s="31" t="n">
        <v>0</v>
      </c>
      <c r="N257" s="21" t="inlineStr"/>
      <c r="O257" s="21" t="inlineStr"/>
      <c r="P257" s="21" t="inlineStr"/>
      <c r="Q257" s="21" t="inlineStr"/>
      <c r="R257" s="40" t="n">
        <v>100</v>
      </c>
      <c r="S257" s="21" t="inlineStr">
        <is>
          <t>IR5 121</t>
        </is>
      </c>
      <c r="T257" s="21" t="inlineStr">
        <is>
          <t>Now, I’m not a scientist. Professionally, I’m more of a business lunatic, but I swear these things work like magic. It’s just gotta be, because even though they’re small, they leave big holes in people every time, voila,</t>
        </is>
      </c>
    </row>
    <row r="258">
      <c r="A258" s="21" t="inlineStr">
        <is>
          <t>Serrated/Hollow Point</t>
        </is>
      </c>
      <c r="B258" s="21" t="inlineStr">
        <is>
          <t>Патроны</t>
        </is>
      </c>
      <c r="C258" s="21" t="inlineStr"/>
      <c r="D258" s="21" t="inlineStr"/>
      <c r="E258" s="21" t="inlineStr"/>
      <c r="F258" s="31" t="n"/>
      <c r="G258" s="31" t="n"/>
      <c r="H258" s="31" t="n"/>
      <c r="I258" s="31" t="n"/>
      <c r="J258" s="31" t="n">
        <v>0</v>
      </c>
      <c r="K258" s="31" t="n">
        <v>0</v>
      </c>
      <c r="L258" s="31" t="n">
        <v>0</v>
      </c>
      <c r="M258" s="31" t="n">
        <v>0</v>
      </c>
      <c r="N258" s="21" t="inlineStr"/>
      <c r="O258" s="21" t="inlineStr"/>
      <c r="P258" s="21" t="inlineStr"/>
      <c r="Q258" s="21" t="inlineStr"/>
      <c r="R258" s="40" t="n">
        <v>30</v>
      </c>
      <c r="S258" s="21" t="inlineStr">
        <is>
          <t>IR5 121</t>
        </is>
      </c>
      <c r="T258" s="21" t="inlineStr">
        <is>
          <t>Sensible and reliable. The way I see it, for breakfast, you could eat a plain bagel, but who wants that? These here are the sesame seed bagels of ammunition. They leave your enemies just as toasted to perfection, but wit</t>
        </is>
      </c>
    </row>
    <row r="259">
      <c r="A259" s="21" t="inlineStr">
        <is>
          <t>Tracer</t>
        </is>
      </c>
      <c r="B259" s="21" t="inlineStr">
        <is>
          <t>Патроны</t>
        </is>
      </c>
      <c r="C259" s="21" t="inlineStr"/>
      <c r="D259" s="21" t="inlineStr"/>
      <c r="E259" s="21" t="inlineStr"/>
      <c r="F259" s="31" t="n"/>
      <c r="G259" s="31" t="n"/>
      <c r="H259" s="31" t="n"/>
      <c r="I259" s="31" t="n"/>
      <c r="J259" s="31" t="n">
        <v>0</v>
      </c>
      <c r="K259" s="31" t="n">
        <v>0</v>
      </c>
      <c r="L259" s="31" t="n">
        <v>0</v>
      </c>
      <c r="M259" s="31" t="n">
        <v>0</v>
      </c>
      <c r="N259" s="21" t="inlineStr"/>
      <c r="O259" s="21" t="inlineStr"/>
      <c r="P259" s="21" t="inlineStr"/>
      <c r="Q259" s="21" t="inlineStr"/>
      <c r="R259" s="40" t="n">
        <v>40</v>
      </c>
      <c r="S259" s="21" t="inlineStr">
        <is>
          <t>IR5 121</t>
        </is>
      </c>
      <c r="T259" s="21" t="inlineStr">
        <is>
          <t>These bullets glow like a second sun, even at high noon. Staying on target is as easy as walking the light show directly into your least favorite person. When firing a weapon loaded with this ammunition in Autofire Mode,</t>
        </is>
      </c>
    </row>
    <row r="260">
      <c r="A260" s="21" t="inlineStr">
        <is>
          <t>Airburst</t>
        </is>
      </c>
      <c r="B260" s="21" t="inlineStr">
        <is>
          <t>Патроны</t>
        </is>
      </c>
      <c r="C260" s="21" t="inlineStr"/>
      <c r="D260" s="21" t="inlineStr"/>
      <c r="E260" s="21" t="inlineStr"/>
      <c r="F260" s="31" t="n"/>
      <c r="G260" s="31" t="n"/>
      <c r="H260" s="31" t="n"/>
      <c r="I260" s="31" t="n"/>
      <c r="J260" s="31" t="n">
        <v>0</v>
      </c>
      <c r="K260" s="31" t="n">
        <v>0</v>
      </c>
      <c r="L260" s="31" t="n">
        <v>0</v>
      </c>
      <c r="M260" s="31" t="n">
        <v>0</v>
      </c>
      <c r="N260" s="21" t="inlineStr"/>
      <c r="O260" s="21" t="inlineStr"/>
      <c r="P260" s="21" t="inlineStr"/>
      <c r="Q260" s="21" t="inlineStr"/>
      <c r="R260" s="40" t="n">
        <v>125</v>
      </c>
      <c r="S260" s="21" t="inlineStr">
        <is>
          <t>IR5 126</t>
        </is>
      </c>
      <c r="T260" s="21" t="inlineStr">
        <is>
          <t>Sixteen coin-sized sensors in each unit of this gas-dispersal munition maximize the effective area of the payload to maximize tactical advantage. Each unit of this ammunition must be loaded with three doses of a single S</t>
        </is>
      </c>
    </row>
    <row r="261">
      <c r="A261" s="21" t="inlineStr">
        <is>
          <t>Arrowhypo</t>
        </is>
      </c>
      <c r="B261" s="21" t="inlineStr">
        <is>
          <t>Патроны</t>
        </is>
      </c>
      <c r="C261" s="21" t="inlineStr"/>
      <c r="D261" s="21" t="inlineStr"/>
      <c r="E261" s="21" t="inlineStr"/>
      <c r="F261" s="31" t="n"/>
      <c r="G261" s="31" t="n"/>
      <c r="H261" s="31" t="n"/>
      <c r="I261" s="31" t="n"/>
      <c r="J261" s="31" t="n">
        <v>0</v>
      </c>
      <c r="K261" s="31" t="n">
        <v>0</v>
      </c>
      <c r="L261" s="31" t="n">
        <v>0</v>
      </c>
      <c r="M261" s="31" t="n">
        <v>0</v>
      </c>
      <c r="N261" s="21" t="inlineStr"/>
      <c r="O261" s="21" t="inlineStr"/>
      <c r="P261" s="21" t="inlineStr"/>
      <c r="Q261" s="21" t="inlineStr"/>
      <c r="R261" s="40" t="n">
        <v>100</v>
      </c>
      <c r="S261" s="21" t="inlineStr">
        <is>
          <t>IR5 126</t>
        </is>
      </c>
      <c r="T261" s="21" t="inlineStr">
        <is>
          <t>Bought by 1 instead of 10 A reinforced airhypo custom-fitted onto the end of a carefully counterbalanced arrow, for use by specialist archers. Each unit of this ammunition can be loaded with one dose of a Street Drug. Wh</t>
        </is>
      </c>
    </row>
    <row r="262">
      <c r="A262" s="21" t="inlineStr">
        <is>
          <t>Banhammer</t>
        </is>
      </c>
      <c r="B262" s="21" t="inlineStr">
        <is>
          <t>Программы</t>
        </is>
      </c>
      <c r="C262" s="21" t="inlineStr"/>
      <c r="D262" s="21" t="inlineStr"/>
      <c r="E262" s="21" t="inlineStr"/>
      <c r="F262" s="31" t="n"/>
      <c r="G262" s="31" t="n"/>
      <c r="H262" s="31" t="n"/>
      <c r="I262" s="31" t="n"/>
      <c r="J262" s="31" t="n">
        <v>0</v>
      </c>
      <c r="K262" s="31" t="n">
        <v>0</v>
      </c>
      <c r="L262" s="31" t="n">
        <v>0</v>
      </c>
      <c r="M262" s="31" t="n">
        <v>0</v>
      </c>
      <c r="N262" s="21" t="inlineStr"/>
      <c r="O262" s="21" t="inlineStr"/>
      <c r="P262" s="21" t="inlineStr"/>
      <c r="Q262" s="21" t="inlineStr"/>
      <c r="R262" s="40" t="n">
        <v>50</v>
      </c>
      <c r="S262" s="21" t="inlineStr">
        <is>
          <t>CP:R 369</t>
        </is>
      </c>
      <c r="T262" s="21" t="inlineStr">
        <is>
          <t>Does 3d6 REZ to a Non-Black ICE Program, or 2d6 REZ to a Black ICE Program.</t>
        </is>
      </c>
    </row>
    <row r="263">
      <c r="A263" s="21" t="inlineStr">
        <is>
          <t>DeckKRASH</t>
        </is>
      </c>
      <c r="B263" s="21" t="inlineStr">
        <is>
          <t>Программы</t>
        </is>
      </c>
      <c r="C263" s="21" t="inlineStr"/>
      <c r="D263" s="21" t="inlineStr"/>
      <c r="E263" s="21" t="inlineStr"/>
      <c r="F263" s="31" t="n"/>
      <c r="G263" s="31" t="n"/>
      <c r="H263" s="31" t="n"/>
      <c r="I263" s="31" t="n"/>
      <c r="J263" s="31" t="n">
        <v>0</v>
      </c>
      <c r="K263" s="31" t="n">
        <v>0</v>
      </c>
      <c r="L263" s="31" t="n">
        <v>0</v>
      </c>
      <c r="M263" s="31" t="n">
        <v>0</v>
      </c>
      <c r="N263" s="21" t="inlineStr"/>
      <c r="O263" s="21" t="inlineStr"/>
      <c r="P263" s="21" t="inlineStr"/>
      <c r="Q263" s="21" t="inlineStr"/>
      <c r="R263" s="40" t="n">
        <v>100</v>
      </c>
      <c r="S263" s="21" t="inlineStr">
        <is>
          <t>CP:R 369</t>
        </is>
      </c>
      <c r="T263" s="21" t="inlineStr">
        <is>
          <t>Enemy Netrunner is forcibly and unsafely Jacked Out of the Architecture, suffering the effect of all Rezzed enemy Black ICE they've encountered in the Architecture as they leave.</t>
        </is>
      </c>
    </row>
    <row r="264">
      <c r="A264" s="21" t="inlineStr">
        <is>
          <t>Hellbolt</t>
        </is>
      </c>
      <c r="B264" s="21" t="inlineStr">
        <is>
          <t>Программы</t>
        </is>
      </c>
      <c r="C264" s="21" t="inlineStr"/>
      <c r="D264" s="21" t="inlineStr"/>
      <c r="E264" s="21" t="inlineStr"/>
      <c r="F264" s="31" t="n"/>
      <c r="G264" s="31" t="n"/>
      <c r="H264" s="31" t="n"/>
      <c r="I264" s="31" t="n"/>
      <c r="J264" s="31" t="n">
        <v>0</v>
      </c>
      <c r="K264" s="31" t="n">
        <v>0</v>
      </c>
      <c r="L264" s="31" t="n">
        <v>0</v>
      </c>
      <c r="M264" s="31" t="n">
        <v>0</v>
      </c>
      <c r="N264" s="21" t="inlineStr"/>
      <c r="O264" s="21" t="inlineStr"/>
      <c r="P264" s="21" t="inlineStr"/>
      <c r="Q264" s="21" t="inlineStr"/>
      <c r="R264" s="40" t="n">
        <v>100</v>
      </c>
      <c r="S264" s="21" t="inlineStr">
        <is>
          <t>CP:R 369</t>
        </is>
      </c>
      <c r="T264" s="21" t="inlineStr">
        <is>
          <t>Does 2d6 Damage direct to the enemy Netrunner's brain. Unless insulated, their Cyberdeck catches fire along with their clothing. Until they spend a Meat Action to put themselves out, they take 2 damage to their HP whenev</t>
        </is>
      </c>
    </row>
    <row r="265">
      <c r="A265" s="21" t="inlineStr">
        <is>
          <t>Nervescrub</t>
        </is>
      </c>
      <c r="B265" s="21" t="inlineStr">
        <is>
          <t>Программы</t>
        </is>
      </c>
      <c r="C265" s="21" t="inlineStr"/>
      <c r="D265" s="21" t="inlineStr"/>
      <c r="E265" s="21" t="inlineStr"/>
      <c r="F265" s="31" t="n"/>
      <c r="G265" s="31" t="n"/>
      <c r="H265" s="31" t="n"/>
      <c r="I265" s="31" t="n"/>
      <c r="J265" s="31" t="n">
        <v>0</v>
      </c>
      <c r="K265" s="31" t="n">
        <v>0</v>
      </c>
      <c r="L265" s="31" t="n">
        <v>0</v>
      </c>
      <c r="M265" s="31" t="n">
        <v>0</v>
      </c>
      <c r="N265" s="21" t="inlineStr"/>
      <c r="O265" s="21" t="inlineStr"/>
      <c r="P265" s="21" t="inlineStr"/>
      <c r="Q265" s="21" t="inlineStr"/>
      <c r="R265" s="40" t="n">
        <v>100</v>
      </c>
      <c r="S265" s="21" t="inlineStr">
        <is>
          <t>CP:R 369</t>
        </is>
      </c>
      <c r="T265" s="21" t="inlineStr">
        <is>
          <t>Enemy Netrunner's INT, REF, and DEX are each lowered by 1d6 for the next hour (minimum 1). The effects are largely psychosomatic and leave no permanent effects.</t>
        </is>
      </c>
    </row>
    <row r="266">
      <c r="A266" s="21" t="inlineStr">
        <is>
          <t>Poison Flatline</t>
        </is>
      </c>
      <c r="B266" s="21" t="inlineStr">
        <is>
          <t>Программы</t>
        </is>
      </c>
      <c r="C266" s="21" t="inlineStr"/>
      <c r="D266" s="21" t="inlineStr"/>
      <c r="E266" s="21" t="inlineStr"/>
      <c r="F266" s="31" t="n"/>
      <c r="G266" s="31" t="n"/>
      <c r="H266" s="31" t="n"/>
      <c r="I266" s="31" t="n"/>
      <c r="J266" s="31" t="n">
        <v>0</v>
      </c>
      <c r="K266" s="31" t="n">
        <v>0</v>
      </c>
      <c r="L266" s="31" t="n">
        <v>0</v>
      </c>
      <c r="M266" s="31" t="n">
        <v>0</v>
      </c>
      <c r="N266" s="21" t="inlineStr"/>
      <c r="O266" s="21" t="inlineStr"/>
      <c r="P266" s="21" t="inlineStr"/>
      <c r="Q266" s="21" t="inlineStr"/>
      <c r="R266" s="40" t="n">
        <v>100</v>
      </c>
      <c r="S266" s="21" t="inlineStr">
        <is>
          <t>CP:R 370</t>
        </is>
      </c>
      <c r="T266" s="21" t="inlineStr">
        <is>
          <t>Destroys a single Non-Black ICE Program installed on the Netrunner target's Cyberdeck at random.</t>
        </is>
      </c>
    </row>
    <row r="267">
      <c r="A267" s="21" t="inlineStr">
        <is>
          <t>Superglue</t>
        </is>
      </c>
      <c r="B267" s="21" t="inlineStr">
        <is>
          <t>Программы</t>
        </is>
      </c>
      <c r="C267" s="21" t="inlineStr"/>
      <c r="D267" s="21" t="inlineStr"/>
      <c r="E267" s="21" t="inlineStr"/>
      <c r="F267" s="31" t="n"/>
      <c r="G267" s="31" t="n"/>
      <c r="H267" s="31" t="n"/>
      <c r="I267" s="31" t="n"/>
      <c r="J267" s="31" t="n">
        <v>0</v>
      </c>
      <c r="K267" s="31" t="n">
        <v>0</v>
      </c>
      <c r="L267" s="31" t="n">
        <v>0</v>
      </c>
      <c r="M267" s="31" t="n">
        <v>0</v>
      </c>
      <c r="N267" s="21" t="inlineStr"/>
      <c r="O267" s="21" t="inlineStr"/>
      <c r="P267" s="21" t="inlineStr"/>
      <c r="Q267" s="21" t="inlineStr"/>
      <c r="R267" s="40" t="n">
        <v>100</v>
      </c>
      <c r="S267" s="21" t="inlineStr">
        <is>
          <t>CP:R 370</t>
        </is>
      </c>
      <c r="T267" s="21" t="inlineStr">
        <is>
          <t>Enemy Netrunner cannot progress deeper into the Architecture or Jack Out safely for 1d6 Rounds (enemy Netrunner can still perform an unsafe Jack Out, though). Each copy of this Program can only be used once per Netrun.</t>
        </is>
      </c>
    </row>
    <row r="268">
      <c r="A268" s="21" t="inlineStr">
        <is>
          <t>Sword</t>
        </is>
      </c>
      <c r="B268" s="21" t="inlineStr">
        <is>
          <t>Программы</t>
        </is>
      </c>
      <c r="C268" s="21" t="inlineStr"/>
      <c r="D268" s="21" t="inlineStr"/>
      <c r="E268" s="21" t="inlineStr"/>
      <c r="F268" s="31" t="n"/>
      <c r="G268" s="31" t="n"/>
      <c r="H268" s="31" t="n"/>
      <c r="I268" s="31" t="n"/>
      <c r="J268" s="31" t="n">
        <v>0</v>
      </c>
      <c r="K268" s="31" t="n">
        <v>0</v>
      </c>
      <c r="L268" s="31" t="n">
        <v>0</v>
      </c>
      <c r="M268" s="31" t="n">
        <v>0</v>
      </c>
      <c r="N268" s="21" t="inlineStr"/>
      <c r="O268" s="21" t="inlineStr"/>
      <c r="P268" s="21" t="inlineStr"/>
      <c r="Q268" s="21" t="inlineStr"/>
      <c r="R268" s="40" t="n">
        <v>50</v>
      </c>
      <c r="S268" s="21" t="inlineStr">
        <is>
          <t>CP:R 369</t>
        </is>
      </c>
      <c r="T268" s="21" t="inlineStr">
        <is>
          <t>Does 3d6 REZ to a Black ICE Program, or 2d6 REZ to a Non-Black ICE Program.</t>
        </is>
      </c>
    </row>
    <row r="269">
      <c r="A269" s="21" t="inlineStr">
        <is>
          <t>Vrizzbolt</t>
        </is>
      </c>
      <c r="B269" s="21" t="inlineStr">
        <is>
          <t>Программы</t>
        </is>
      </c>
      <c r="C269" s="21" t="inlineStr"/>
      <c r="D269" s="21" t="inlineStr"/>
      <c r="E269" s="21" t="inlineStr"/>
      <c r="F269" s="31" t="n"/>
      <c r="G269" s="31" t="n"/>
      <c r="H269" s="31" t="n"/>
      <c r="I269" s="31" t="n"/>
      <c r="J269" s="31" t="n">
        <v>0</v>
      </c>
      <c r="K269" s="31" t="n">
        <v>0</v>
      </c>
      <c r="L269" s="31" t="n">
        <v>0</v>
      </c>
      <c r="M269" s="31" t="n">
        <v>0</v>
      </c>
      <c r="N269" s="21" t="inlineStr"/>
      <c r="O269" s="21" t="inlineStr"/>
      <c r="P269" s="21" t="inlineStr"/>
      <c r="Q269" s="21" t="inlineStr"/>
      <c r="R269" s="40" t="n">
        <v>50</v>
      </c>
      <c r="S269" s="21" t="inlineStr">
        <is>
          <t>CP:R 370</t>
        </is>
      </c>
      <c r="T269" s="21" t="inlineStr">
        <is>
          <t>Does 1d6 Damage direct to a Netrunner's brain and lowers the amount of total NET Actions the Netrunner can accomplish on their next Turn by 1 (minimum 2).</t>
        </is>
      </c>
    </row>
    <row r="270">
      <c r="A270" s="21" t="inlineStr">
        <is>
          <t>Eraser</t>
        </is>
      </c>
      <c r="B270" s="21" t="inlineStr">
        <is>
          <t>Программы</t>
        </is>
      </c>
      <c r="C270" s="21" t="inlineStr"/>
      <c r="D270" s="21" t="inlineStr"/>
      <c r="E270" s="21" t="inlineStr"/>
      <c r="F270" s="31" t="n"/>
      <c r="G270" s="31" t="n"/>
      <c r="H270" s="31" t="n"/>
      <c r="I270" s="31" t="n"/>
      <c r="J270" s="31" t="n">
        <v>0</v>
      </c>
      <c r="K270" s="31" t="n">
        <v>0</v>
      </c>
      <c r="L270" s="31" t="n">
        <v>0</v>
      </c>
      <c r="M270" s="31" t="n">
        <v>0</v>
      </c>
      <c r="N270" s="21" t="inlineStr"/>
      <c r="O270" s="21" t="inlineStr"/>
      <c r="P270" s="21" t="inlineStr"/>
      <c r="Q270" s="21" t="inlineStr"/>
      <c r="R270" s="40" t="n">
        <v>20</v>
      </c>
      <c r="S270" s="21" t="inlineStr">
        <is>
          <t>CP:R 368</t>
        </is>
      </c>
      <c r="T270" s="21" t="inlineStr">
        <is>
          <t>Increases all Cloak Checks you make by +2 as long as this Program remains Rezzed.</t>
        </is>
      </c>
    </row>
    <row r="271">
      <c r="A271" s="21" t="inlineStr">
        <is>
          <t>See Ya</t>
        </is>
      </c>
      <c r="B271" s="21" t="inlineStr">
        <is>
          <t>Программы</t>
        </is>
      </c>
      <c r="C271" s="21" t="inlineStr"/>
      <c r="D271" s="21" t="inlineStr"/>
      <c r="E271" s="21" t="inlineStr"/>
      <c r="F271" s="31" t="n"/>
      <c r="G271" s="31" t="n"/>
      <c r="H271" s="31" t="n"/>
      <c r="I271" s="31" t="n"/>
      <c r="J271" s="31" t="n">
        <v>0</v>
      </c>
      <c r="K271" s="31" t="n">
        <v>0</v>
      </c>
      <c r="L271" s="31" t="n">
        <v>0</v>
      </c>
      <c r="M271" s="31" t="n">
        <v>0</v>
      </c>
      <c r="N271" s="21" t="inlineStr"/>
      <c r="O271" s="21" t="inlineStr"/>
      <c r="P271" s="21" t="inlineStr"/>
      <c r="Q271" s="21" t="inlineStr"/>
      <c r="R271" s="40" t="n">
        <v>20</v>
      </c>
      <c r="S271" s="21" t="inlineStr">
        <is>
          <t>CP:R 368</t>
        </is>
      </c>
      <c r="T271" s="21" t="inlineStr">
        <is>
          <t>Increases all Pathfinder Checks you make by +2 as long as this Program remains Rezzed.</t>
        </is>
      </c>
    </row>
    <row r="272">
      <c r="A272" s="21" t="inlineStr">
        <is>
          <t>Speedy Gonzalvez</t>
        </is>
      </c>
      <c r="B272" s="21" t="inlineStr">
        <is>
          <t>Программы</t>
        </is>
      </c>
      <c r="C272" s="21" t="inlineStr"/>
      <c r="D272" s="21" t="inlineStr"/>
      <c r="E272" s="21" t="inlineStr"/>
      <c r="F272" s="31" t="n"/>
      <c r="G272" s="31" t="n"/>
      <c r="H272" s="31" t="n"/>
      <c r="I272" s="31" t="n"/>
      <c r="J272" s="31" t="n">
        <v>0</v>
      </c>
      <c r="K272" s="31" t="n">
        <v>0</v>
      </c>
      <c r="L272" s="31" t="n">
        <v>0</v>
      </c>
      <c r="M272" s="31" t="n">
        <v>0</v>
      </c>
      <c r="N272" s="21" t="inlineStr"/>
      <c r="O272" s="21" t="inlineStr"/>
      <c r="P272" s="21" t="inlineStr"/>
      <c r="Q272" s="21" t="inlineStr"/>
      <c r="R272" s="40" t="n">
        <v>100</v>
      </c>
      <c r="S272" s="21" t="inlineStr">
        <is>
          <t>CP:R 368</t>
        </is>
      </c>
      <c r="T272" s="21" t="inlineStr">
        <is>
          <t>Increases your Speed by +2 as long as this Program remains Rezzed.</t>
        </is>
      </c>
    </row>
    <row r="273">
      <c r="A273" s="21" t="inlineStr">
        <is>
          <t>Worm</t>
        </is>
      </c>
      <c r="B273" s="21" t="inlineStr">
        <is>
          <t>Программы</t>
        </is>
      </c>
      <c r="C273" s="21" t="inlineStr"/>
      <c r="D273" s="21" t="inlineStr"/>
      <c r="E273" s="21" t="inlineStr"/>
      <c r="F273" s="31" t="n"/>
      <c r="G273" s="31" t="n"/>
      <c r="H273" s="31" t="n"/>
      <c r="I273" s="31" t="n"/>
      <c r="J273" s="31" t="n">
        <v>0</v>
      </c>
      <c r="K273" s="31" t="n">
        <v>0</v>
      </c>
      <c r="L273" s="31" t="n">
        <v>0</v>
      </c>
      <c r="M273" s="31" t="n">
        <v>0</v>
      </c>
      <c r="N273" s="21" t="inlineStr"/>
      <c r="O273" s="21" t="inlineStr"/>
      <c r="P273" s="21" t="inlineStr"/>
      <c r="Q273" s="21" t="inlineStr"/>
      <c r="R273" s="40" t="n">
        <v>50</v>
      </c>
      <c r="S273" s="21" t="inlineStr">
        <is>
          <t>CP:R 368</t>
        </is>
      </c>
      <c r="T273" s="21" t="inlineStr">
        <is>
          <t>Increases all Backdoor Checks you make by +2 as long as this Program remains Rezzed.</t>
        </is>
      </c>
    </row>
    <row r="274">
      <c r="A274" s="21" t="inlineStr">
        <is>
          <t>Armor</t>
        </is>
      </c>
      <c r="B274" s="21" t="inlineStr">
        <is>
          <t>Программы</t>
        </is>
      </c>
      <c r="C274" s="21" t="inlineStr"/>
      <c r="D274" s="21" t="inlineStr"/>
      <c r="E274" s="21" t="inlineStr"/>
      <c r="F274" s="31" t="n"/>
      <c r="G274" s="31" t="n"/>
      <c r="H274" s="31" t="n"/>
      <c r="I274" s="31" t="n"/>
      <c r="J274" s="31" t="n">
        <v>0</v>
      </c>
      <c r="K274" s="31" t="n">
        <v>0</v>
      </c>
      <c r="L274" s="31" t="n">
        <v>0</v>
      </c>
      <c r="M274" s="31" t="n">
        <v>0</v>
      </c>
      <c r="N274" s="21" t="inlineStr"/>
      <c r="O274" s="21" t="inlineStr"/>
      <c r="P274" s="21" t="inlineStr"/>
      <c r="Q274" s="21" t="inlineStr"/>
      <c r="R274" s="40" t="n">
        <v>50</v>
      </c>
      <c r="S274" s="21" t="inlineStr">
        <is>
          <t>CP:R 369</t>
        </is>
      </c>
      <c r="T274" s="21" t="inlineStr">
        <is>
          <t>Lowers all brain damage you would receive by 4, as long as this Program remains Rezzed. Only 1 copy of this Program can be running at a time. Each copy of this Program can only be used once per Netrun.</t>
        </is>
      </c>
    </row>
    <row r="275">
      <c r="A275" s="21" t="inlineStr">
        <is>
          <t>Flak (Программы)</t>
        </is>
      </c>
      <c r="B275" s="21" t="inlineStr">
        <is>
          <t>Программы</t>
        </is>
      </c>
      <c r="C275" s="21" t="inlineStr"/>
      <c r="D275" s="21" t="inlineStr"/>
      <c r="E275" s="21" t="inlineStr"/>
      <c r="F275" s="31" t="n"/>
      <c r="G275" s="31" t="n"/>
      <c r="H275" s="31" t="n"/>
      <c r="I275" s="31" t="n"/>
      <c r="J275" s="31" t="n">
        <v>0</v>
      </c>
      <c r="K275" s="31" t="n">
        <v>0</v>
      </c>
      <c r="L275" s="31" t="n">
        <v>0</v>
      </c>
      <c r="M275" s="31" t="n">
        <v>0</v>
      </c>
      <c r="N275" s="21" t="inlineStr"/>
      <c r="O275" s="21" t="inlineStr"/>
      <c r="P275" s="21" t="inlineStr"/>
      <c r="Q275" s="21" t="inlineStr"/>
      <c r="R275" s="40" t="n">
        <v>50</v>
      </c>
      <c r="S275" s="21" t="inlineStr">
        <is>
          <t>CP:R 369</t>
        </is>
      </c>
      <c r="T275" s="21" t="inlineStr">
        <is>
          <t>Reduces the ATK of all Non-Black ICE Attacker Programs run against you to 0 as long as this Program remains Rezzed. Only 1 copy of this Program can be running at a time. Each copy of this Program can only be used once pe</t>
        </is>
      </c>
    </row>
    <row r="276">
      <c r="A276" s="21" t="inlineStr">
        <is>
          <t>Shield</t>
        </is>
      </c>
      <c r="B276" s="21" t="inlineStr">
        <is>
          <t>Программы</t>
        </is>
      </c>
      <c r="C276" s="21" t="inlineStr"/>
      <c r="D276" s="21" t="inlineStr"/>
      <c r="E276" s="21" t="inlineStr"/>
      <c r="F276" s="31" t="n"/>
      <c r="G276" s="31" t="n"/>
      <c r="H276" s="31" t="n"/>
      <c r="I276" s="31" t="n"/>
      <c r="J276" s="31" t="n">
        <v>0</v>
      </c>
      <c r="K276" s="31" t="n">
        <v>0</v>
      </c>
      <c r="L276" s="31" t="n">
        <v>0</v>
      </c>
      <c r="M276" s="31" t="n">
        <v>0</v>
      </c>
      <c r="N276" s="21" t="inlineStr"/>
      <c r="O276" s="21" t="inlineStr"/>
      <c r="P276" s="21" t="inlineStr"/>
      <c r="Q276" s="21" t="inlineStr"/>
      <c r="R276" s="40" t="n">
        <v>20</v>
      </c>
      <c r="S276" s="21" t="inlineStr">
        <is>
          <t>CP:R 369</t>
        </is>
      </c>
      <c r="T276" s="21" t="inlineStr">
        <is>
          <t>Stops the first successful Non-Black ICE Program Effect from dealing brain damage. After stopping this damage, the Shield Derezzes itself. Only 1 copy of this Program can be running at a time. Each copy of this Program c</t>
        </is>
      </c>
    </row>
    <row r="277">
      <c r="A277" s="21" t="inlineStr">
        <is>
          <t>Asp</t>
        </is>
      </c>
      <c r="B277" s="21" t="inlineStr">
        <is>
          <t>Программы</t>
        </is>
      </c>
      <c r="C277" s="21" t="inlineStr"/>
      <c r="D277" s="21" t="inlineStr"/>
      <c r="E277" s="21" t="inlineStr"/>
      <c r="F277" s="31" t="n"/>
      <c r="G277" s="31" t="n"/>
      <c r="H277" s="31" t="n"/>
      <c r="I277" s="31" t="n"/>
      <c r="J277" s="31" t="n">
        <v>0</v>
      </c>
      <c r="K277" s="31" t="n">
        <v>0</v>
      </c>
      <c r="L277" s="31" t="n">
        <v>0</v>
      </c>
      <c r="M277" s="31" t="n">
        <v>0</v>
      </c>
      <c r="N277" s="21" t="inlineStr"/>
      <c r="O277" s="21" t="inlineStr"/>
      <c r="P277" s="21" t="inlineStr"/>
      <c r="Q277" s="21" t="inlineStr"/>
      <c r="R277" s="40" t="n">
        <v>100</v>
      </c>
      <c r="S277" s="21" t="inlineStr">
        <is>
          <t>CP:R 370</t>
        </is>
      </c>
      <c r="T277" s="21" t="inlineStr">
        <is>
          <t>Destroys a single Program installed on the enemy Netrunner's Cyberdeck at random.</t>
        </is>
      </c>
    </row>
    <row r="278">
      <c r="A278" s="21" t="inlineStr">
        <is>
          <t>Giant</t>
        </is>
      </c>
      <c r="B278" s="21" t="inlineStr">
        <is>
          <t>Программы</t>
        </is>
      </c>
      <c r="C278" s="21" t="inlineStr"/>
      <c r="D278" s="21" t="inlineStr"/>
      <c r="E278" s="21" t="inlineStr"/>
      <c r="F278" s="31" t="n"/>
      <c r="G278" s="31" t="n"/>
      <c r="H278" s="31" t="n"/>
      <c r="I278" s="31" t="n"/>
      <c r="J278" s="31" t="n">
        <v>0</v>
      </c>
      <c r="K278" s="31" t="n">
        <v>0</v>
      </c>
      <c r="L278" s="31" t="n">
        <v>0</v>
      </c>
      <c r="M278" s="31" t="n">
        <v>0</v>
      </c>
      <c r="N278" s="21" t="inlineStr"/>
      <c r="O278" s="21" t="inlineStr"/>
      <c r="P278" s="21" t="inlineStr"/>
      <c r="Q278" s="21" t="inlineStr"/>
      <c r="R278" s="40" t="n">
        <v>1000</v>
      </c>
      <c r="S278" s="21" t="inlineStr">
        <is>
          <t>CP:R 370</t>
        </is>
      </c>
      <c r="T278" s="21" t="inlineStr">
        <is>
          <t>Does 3d6 damage direct to an enemy Netrunner's brain. The Netrunner is forcibly and unsafely Jacked Out of their current Netrun. They suffer the effect of all Rezzed enemy Black ICE they've encountered in the Architectur</t>
        </is>
      </c>
    </row>
    <row r="279">
      <c r="A279" s="21" t="inlineStr">
        <is>
          <t>Hellhound</t>
        </is>
      </c>
      <c r="B279" s="21" t="inlineStr">
        <is>
          <t>Программы</t>
        </is>
      </c>
      <c r="C279" s="21" t="inlineStr"/>
      <c r="D279" s="21" t="inlineStr"/>
      <c r="E279" s="21" t="inlineStr"/>
      <c r="F279" s="31" t="n"/>
      <c r="G279" s="31" t="n"/>
      <c r="H279" s="31" t="n"/>
      <c r="I279" s="31" t="n"/>
      <c r="J279" s="31" t="n">
        <v>0</v>
      </c>
      <c r="K279" s="31" t="n">
        <v>0</v>
      </c>
      <c r="L279" s="31" t="n">
        <v>0</v>
      </c>
      <c r="M279" s="31" t="n">
        <v>0</v>
      </c>
      <c r="N279" s="21" t="inlineStr"/>
      <c r="O279" s="21" t="inlineStr"/>
      <c r="P279" s="21" t="inlineStr"/>
      <c r="Q279" s="21" t="inlineStr"/>
      <c r="R279" s="40" t="n">
        <v>500</v>
      </c>
      <c r="S279" s="21" t="inlineStr">
        <is>
          <t>CP:R 370</t>
        </is>
      </c>
      <c r="T279" s="21" t="inlineStr">
        <is>
          <t>Does 2d6 damage direct to the Netrunner's brain. Unless insulated, their Cyberdeck catches fire along with their clothing. Until they spend a Meat Action to put themselves out, they take 2 damage to their HP whenever the</t>
        </is>
      </c>
    </row>
    <row r="280">
      <c r="A280" s="21" t="inlineStr">
        <is>
          <t>Kraken</t>
        </is>
      </c>
      <c r="B280" s="21" t="inlineStr">
        <is>
          <t>Программы</t>
        </is>
      </c>
      <c r="C280" s="21" t="inlineStr"/>
      <c r="D280" s="21" t="inlineStr"/>
      <c r="E280" s="21" t="inlineStr"/>
      <c r="F280" s="31" t="n"/>
      <c r="G280" s="31" t="n"/>
      <c r="H280" s="31" t="n"/>
      <c r="I280" s="31" t="n"/>
      <c r="J280" s="31" t="n">
        <v>0</v>
      </c>
      <c r="K280" s="31" t="n">
        <v>0</v>
      </c>
      <c r="L280" s="31" t="n">
        <v>0</v>
      </c>
      <c r="M280" s="31" t="n">
        <v>0</v>
      </c>
      <c r="N280" s="21" t="inlineStr"/>
      <c r="O280" s="21" t="inlineStr"/>
      <c r="P280" s="21" t="inlineStr"/>
      <c r="Q280" s="21" t="inlineStr"/>
      <c r="R280" s="40" t="n">
        <v>1000</v>
      </c>
      <c r="S280" s="21" t="inlineStr">
        <is>
          <t>CP:R 370</t>
        </is>
      </c>
      <c r="T280" s="21" t="inlineStr">
        <is>
          <t>Does 3d6 damage direct to an enemy Netrunner's brain. Until the end of the Netrunner's next Turn, the Netrunner cannot progress deeper into the Architecture or Jack Out safely (The Netrunner can still perform an unsafe J</t>
        </is>
      </c>
    </row>
    <row r="281">
      <c r="A281" s="21" t="inlineStr">
        <is>
          <t>Liche</t>
        </is>
      </c>
      <c r="B281" s="21" t="inlineStr">
        <is>
          <t>Программы</t>
        </is>
      </c>
      <c r="C281" s="21" t="inlineStr"/>
      <c r="D281" s="21" t="inlineStr"/>
      <c r="E281" s="21" t="inlineStr"/>
      <c r="F281" s="31" t="n"/>
      <c r="G281" s="31" t="n"/>
      <c r="H281" s="31" t="n"/>
      <c r="I281" s="31" t="n"/>
      <c r="J281" s="31" t="n">
        <v>0</v>
      </c>
      <c r="K281" s="31" t="n">
        <v>0</v>
      </c>
      <c r="L281" s="31" t="n">
        <v>0</v>
      </c>
      <c r="M281" s="31" t="n">
        <v>0</v>
      </c>
      <c r="N281" s="21" t="inlineStr"/>
      <c r="O281" s="21" t="inlineStr"/>
      <c r="P281" s="21" t="inlineStr"/>
      <c r="Q281" s="21" t="inlineStr"/>
      <c r="R281" s="40" t="n">
        <v>500</v>
      </c>
      <c r="S281" s="21" t="inlineStr">
        <is>
          <t>CP:R 371</t>
        </is>
      </c>
      <c r="T281" s="21" t="inlineStr">
        <is>
          <t>Enemy Netrunner's INT, REF, and DEX are each lowered by 1d6 for the next hour (minimum 1). The effects are largely psychosomatic and leave no permanent effects.</t>
        </is>
      </c>
    </row>
    <row r="282">
      <c r="A282" s="21" t="inlineStr">
        <is>
          <t>Raven</t>
        </is>
      </c>
      <c r="B282" s="21" t="inlineStr">
        <is>
          <t>Программы</t>
        </is>
      </c>
      <c r="C282" s="21" t="inlineStr"/>
      <c r="D282" s="21" t="inlineStr"/>
      <c r="E282" s="21" t="inlineStr"/>
      <c r="F282" s="31" t="n"/>
      <c r="G282" s="31" t="n"/>
      <c r="H282" s="31" t="n"/>
      <c r="I282" s="31" t="n"/>
      <c r="J282" s="31" t="n">
        <v>0</v>
      </c>
      <c r="K282" s="31" t="n">
        <v>0</v>
      </c>
      <c r="L282" s="31" t="n">
        <v>0</v>
      </c>
      <c r="M282" s="31" t="n">
        <v>0</v>
      </c>
      <c r="N282" s="21" t="inlineStr"/>
      <c r="O282" s="21" t="inlineStr"/>
      <c r="P282" s="21" t="inlineStr"/>
      <c r="Q282" s="21" t="inlineStr"/>
      <c r="R282" s="40" t="n">
        <v>50</v>
      </c>
      <c r="S282" s="21" t="inlineStr">
        <is>
          <t>CP:R 371</t>
        </is>
      </c>
      <c r="T282" s="21" t="inlineStr">
        <is>
          <t>Derezzes a single Defender Program the enemy netrunner has Rezzed at random, then deals 1d6 damage direct to the Netrunner's brain.</t>
        </is>
      </c>
    </row>
    <row r="283">
      <c r="A283" s="21" t="inlineStr">
        <is>
          <t>Scorpion</t>
        </is>
      </c>
      <c r="B283" s="21" t="inlineStr">
        <is>
          <t>Программы</t>
        </is>
      </c>
      <c r="C283" s="21" t="inlineStr"/>
      <c r="D283" s="21" t="inlineStr"/>
      <c r="E283" s="21" t="inlineStr"/>
      <c r="F283" s="31" t="n"/>
      <c r="G283" s="31" t="n"/>
      <c r="H283" s="31" t="n"/>
      <c r="I283" s="31" t="n"/>
      <c r="J283" s="31" t="n">
        <v>0</v>
      </c>
      <c r="K283" s="31" t="n">
        <v>0</v>
      </c>
      <c r="L283" s="31" t="n">
        <v>0</v>
      </c>
      <c r="M283" s="31" t="n">
        <v>0</v>
      </c>
      <c r="N283" s="21" t="inlineStr"/>
      <c r="O283" s="21" t="inlineStr"/>
      <c r="P283" s="21" t="inlineStr"/>
      <c r="Q283" s="21" t="inlineStr"/>
      <c r="R283" s="40" t="n">
        <v>100</v>
      </c>
      <c r="S283" s="21" t="inlineStr">
        <is>
          <t>CP:R 371</t>
        </is>
      </c>
      <c r="T283" s="21" t="inlineStr">
        <is>
          <t>Enemy Netrunner's MOVE is lowered by 1d6 for the next hour (minimum 1). The effects are largely psychosomatic and leave no permanent effects.</t>
        </is>
      </c>
    </row>
    <row r="284">
      <c r="A284" s="21" t="inlineStr">
        <is>
          <t>Skunk</t>
        </is>
      </c>
      <c r="B284" s="21" t="inlineStr">
        <is>
          <t>Программы</t>
        </is>
      </c>
      <c r="C284" s="21" t="inlineStr"/>
      <c r="D284" s="21" t="inlineStr"/>
      <c r="E284" s="21" t="inlineStr"/>
      <c r="F284" s="31" t="n"/>
      <c r="G284" s="31" t="n"/>
      <c r="H284" s="31" t="n"/>
      <c r="I284" s="31" t="n"/>
      <c r="J284" s="31" t="n">
        <v>0</v>
      </c>
      <c r="K284" s="31" t="n">
        <v>0</v>
      </c>
      <c r="L284" s="31" t="n">
        <v>0</v>
      </c>
      <c r="M284" s="31" t="n">
        <v>0</v>
      </c>
      <c r="N284" s="21" t="inlineStr"/>
      <c r="O284" s="21" t="inlineStr"/>
      <c r="P284" s="21" t="inlineStr"/>
      <c r="Q284" s="21" t="inlineStr"/>
      <c r="R284" s="40" t="n">
        <v>500</v>
      </c>
      <c r="S284" s="21" t="inlineStr">
        <is>
          <t>CP:R 371</t>
        </is>
      </c>
      <c r="T284" s="21" t="inlineStr">
        <is>
          <t>Until this Program is Derezzed, an enemy Netrunner hit by this Effect makes all Slide Checks at a -2. Each Skunk Black ICE can only affect a single Netrunner at a time, but the effects of multiple Skunks can stack.</t>
        </is>
      </c>
    </row>
    <row r="285">
      <c r="A285" s="21" t="inlineStr">
        <is>
          <t>Wisp</t>
        </is>
      </c>
      <c r="B285" s="21" t="inlineStr">
        <is>
          <t>Программы</t>
        </is>
      </c>
      <c r="C285" s="21" t="inlineStr"/>
      <c r="D285" s="21" t="inlineStr"/>
      <c r="E285" s="21" t="inlineStr"/>
      <c r="F285" s="31" t="n"/>
      <c r="G285" s="31" t="n"/>
      <c r="H285" s="31" t="n"/>
      <c r="I285" s="31" t="n"/>
      <c r="J285" s="31" t="n">
        <v>0</v>
      </c>
      <c r="K285" s="31" t="n">
        <v>0</v>
      </c>
      <c r="L285" s="31" t="n">
        <v>0</v>
      </c>
      <c r="M285" s="31" t="n">
        <v>0</v>
      </c>
      <c r="N285" s="21" t="inlineStr"/>
      <c r="O285" s="21" t="inlineStr"/>
      <c r="P285" s="21" t="inlineStr"/>
      <c r="Q285" s="21" t="inlineStr"/>
      <c r="R285" s="40" t="n">
        <v>50</v>
      </c>
      <c r="S285" s="21" t="inlineStr">
        <is>
          <t>CP:R 371</t>
        </is>
      </c>
      <c r="T285" s="21" t="inlineStr">
        <is>
          <t>Does 1d6 damage direct to the enemy Netrunner's brain and lowers the amount of total NET Actions the Netrunner can accomplish on their next Turn by 1 (minimum 2).</t>
        </is>
      </c>
    </row>
    <row r="286">
      <c r="A286" s="21" t="inlineStr">
        <is>
          <t>Dragon</t>
        </is>
      </c>
      <c r="B286" s="21" t="inlineStr">
        <is>
          <t>Программы</t>
        </is>
      </c>
      <c r="C286" s="21" t="inlineStr"/>
      <c r="D286" s="21" t="inlineStr"/>
      <c r="E286" s="21" t="inlineStr"/>
      <c r="F286" s="31" t="n"/>
      <c r="G286" s="31" t="n"/>
      <c r="H286" s="31" t="n"/>
      <c r="I286" s="31" t="n"/>
      <c r="J286" s="31" t="n">
        <v>0</v>
      </c>
      <c r="K286" s="31" t="n">
        <v>0</v>
      </c>
      <c r="L286" s="31" t="n">
        <v>0</v>
      </c>
      <c r="M286" s="31" t="n">
        <v>0</v>
      </c>
      <c r="N286" s="21" t="inlineStr"/>
      <c r="O286" s="21" t="inlineStr"/>
      <c r="P286" s="21" t="inlineStr"/>
      <c r="Q286" s="21" t="inlineStr"/>
      <c r="R286" s="40" t="n">
        <v>1000</v>
      </c>
      <c r="S286" s="21" t="inlineStr">
        <is>
          <t>CP:R 371</t>
        </is>
      </c>
      <c r="T286" s="21" t="inlineStr">
        <is>
          <t>Deals 6d6 damage to a Program. If this damage would be enough to Derezz the Program, it is instead Destroyed.</t>
        </is>
      </c>
    </row>
    <row r="287">
      <c r="A287" s="21" t="inlineStr">
        <is>
          <t>Killer</t>
        </is>
      </c>
      <c r="B287" s="21" t="inlineStr">
        <is>
          <t>Программы</t>
        </is>
      </c>
      <c r="C287" s="21" t="inlineStr"/>
      <c r="D287" s="21" t="inlineStr"/>
      <c r="E287" s="21" t="inlineStr"/>
      <c r="F287" s="31" t="n"/>
      <c r="G287" s="31" t="n"/>
      <c r="H287" s="31" t="n"/>
      <c r="I287" s="31" t="n"/>
      <c r="J287" s="31" t="n">
        <v>0</v>
      </c>
      <c r="K287" s="31" t="n">
        <v>0</v>
      </c>
      <c r="L287" s="31" t="n">
        <v>0</v>
      </c>
      <c r="M287" s="31" t="n">
        <v>0</v>
      </c>
      <c r="N287" s="21" t="inlineStr"/>
      <c r="O287" s="21" t="inlineStr"/>
      <c r="P287" s="21" t="inlineStr"/>
      <c r="Q287" s="21" t="inlineStr"/>
      <c r="R287" s="40" t="n">
        <v>500</v>
      </c>
      <c r="S287" s="21" t="inlineStr">
        <is>
          <t>CP:R 371</t>
        </is>
      </c>
      <c r="T287" s="21" t="inlineStr">
        <is>
          <t>Deals 4d6 damage to a Program. If this damage would be enough to Derezz the Program, it is instead Destroyed.</t>
        </is>
      </c>
    </row>
    <row r="288">
      <c r="A288" s="21" t="inlineStr">
        <is>
          <t>Sabertooth</t>
        </is>
      </c>
      <c r="B288" s="21" t="inlineStr">
        <is>
          <t>Программы</t>
        </is>
      </c>
      <c r="C288" s="21" t="inlineStr"/>
      <c r="D288" s="21" t="inlineStr"/>
      <c r="E288" s="21" t="inlineStr"/>
      <c r="F288" s="31" t="n"/>
      <c r="G288" s="31" t="n"/>
      <c r="H288" s="31" t="n"/>
      <c r="I288" s="31" t="n"/>
      <c r="J288" s="31" t="n">
        <v>0</v>
      </c>
      <c r="K288" s="31" t="n">
        <v>0</v>
      </c>
      <c r="L288" s="31" t="n">
        <v>0</v>
      </c>
      <c r="M288" s="31" t="n">
        <v>0</v>
      </c>
      <c r="N288" s="21" t="inlineStr"/>
      <c r="O288" s="21" t="inlineStr"/>
      <c r="P288" s="21" t="inlineStr"/>
      <c r="Q288" s="21" t="inlineStr"/>
      <c r="R288" s="40" t="n">
        <v>1000</v>
      </c>
      <c r="S288" s="21" t="inlineStr">
        <is>
          <t>CP:R 371</t>
        </is>
      </c>
      <c r="T288" s="21" t="inlineStr">
        <is>
          <t>Deals 6d6 damage to a Program. If this damage would be enough to Derezz the Program, it is instead Destroyed.</t>
        </is>
      </c>
    </row>
    <row r="289">
      <c r="A289" s="21" t="inlineStr">
        <is>
          <t>Roadbike</t>
        </is>
      </c>
      <c r="B289" s="21" t="inlineStr">
        <is>
          <t>Транспорт</t>
        </is>
      </c>
      <c r="C289" s="21" t="inlineStr"/>
      <c r="D289" s="21" t="inlineStr"/>
      <c r="E289" s="21" t="inlineStr"/>
      <c r="F289" s="31" t="n"/>
      <c r="G289" s="31" t="n"/>
      <c r="H289" s="31" t="n"/>
      <c r="I289" s="31" t="n"/>
      <c r="J289" s="31" t="n">
        <v>0</v>
      </c>
      <c r="K289" s="31" t="n">
        <v>0</v>
      </c>
      <c r="L289" s="31" t="n">
        <v>0</v>
      </c>
      <c r="M289" s="31" t="n">
        <v>0</v>
      </c>
      <c r="N289" s="21" t="inlineStr"/>
      <c r="O289" s="21" t="inlineStr"/>
      <c r="P289" s="21" t="inlineStr"/>
      <c r="Q289" s="21" t="inlineStr"/>
      <c r="R289" s="40" t="n">
        <v>20000</v>
      </c>
      <c r="S289" s="21" t="inlineStr">
        <is>
          <t>CP:R 190</t>
        </is>
      </c>
      <c r="T289" s="21" t="inlineStr">
        <is>
          <t>Common CHOOH² powered bike.</t>
        </is>
      </c>
    </row>
    <row r="290">
      <c r="A290" s="21" t="inlineStr">
        <is>
          <t>Superbike</t>
        </is>
      </c>
      <c r="B290" s="21" t="inlineStr">
        <is>
          <t>Транспорт</t>
        </is>
      </c>
      <c r="C290" s="21" t="inlineStr"/>
      <c r="D290" s="21" t="inlineStr"/>
      <c r="E290" s="21" t="inlineStr"/>
      <c r="F290" s="31" t="n"/>
      <c r="G290" s="31" t="n"/>
      <c r="H290" s="31" t="n"/>
      <c r="I290" s="31" t="n"/>
      <c r="J290" s="31" t="n">
        <v>0</v>
      </c>
      <c r="K290" s="31" t="n">
        <v>0</v>
      </c>
      <c r="L290" s="31" t="n">
        <v>0</v>
      </c>
      <c r="M290" s="31" t="n">
        <v>0</v>
      </c>
      <c r="N290" s="21" t="inlineStr"/>
      <c r="O290" s="21" t="inlineStr"/>
      <c r="P290" s="21" t="inlineStr"/>
      <c r="Q290" s="21" t="inlineStr"/>
      <c r="R290" s="40" t="n">
        <v>100000</v>
      </c>
      <c r="S290" s="21" t="inlineStr">
        <is>
          <t>CP:R 190</t>
        </is>
      </c>
      <c r="T290" s="21" t="inlineStr">
        <is>
          <t>Exotic CHOOH² streetbike, capable of extreme speeds.</t>
        </is>
      </c>
    </row>
    <row r="291">
      <c r="A291" s="21" t="inlineStr">
        <is>
          <t>Compact Groundcar</t>
        </is>
      </c>
      <c r="B291" s="21" t="inlineStr">
        <is>
          <t>Транспорт</t>
        </is>
      </c>
      <c r="C291" s="21" t="inlineStr"/>
      <c r="D291" s="21" t="inlineStr"/>
      <c r="E291" s="21" t="inlineStr"/>
      <c r="F291" s="31" t="n"/>
      <c r="G291" s="31" t="n"/>
      <c r="H291" s="31" t="n"/>
      <c r="I291" s="31" t="n"/>
      <c r="J291" s="31" t="n">
        <v>0</v>
      </c>
      <c r="K291" s="31" t="n">
        <v>0</v>
      </c>
      <c r="L291" s="31" t="n">
        <v>0</v>
      </c>
      <c r="M291" s="31" t="n">
        <v>0</v>
      </c>
      <c r="N291" s="21" t="inlineStr"/>
      <c r="O291" s="21" t="inlineStr"/>
      <c r="P291" s="21" t="inlineStr"/>
      <c r="Q291" s="21" t="inlineStr"/>
      <c r="R291" s="40" t="n">
        <v>30000</v>
      </c>
      <c r="S291" s="21" t="inlineStr">
        <is>
          <t>CP:R 190</t>
        </is>
      </c>
      <c r="T291" s="21" t="inlineStr">
        <is>
          <t>Common CHOOH² powered car.</t>
        </is>
      </c>
    </row>
    <row r="292">
      <c r="A292" s="21" t="inlineStr">
        <is>
          <t>High Performance Groundcar</t>
        </is>
      </c>
      <c r="B292" s="21" t="inlineStr">
        <is>
          <t>Транспорт</t>
        </is>
      </c>
      <c r="C292" s="21" t="inlineStr"/>
      <c r="D292" s="21" t="inlineStr"/>
      <c r="E292" s="21" t="inlineStr"/>
      <c r="F292" s="31" t="n"/>
      <c r="G292" s="31" t="n"/>
      <c r="H292" s="31" t="n"/>
      <c r="I292" s="31" t="n"/>
      <c r="J292" s="31" t="n">
        <v>0</v>
      </c>
      <c r="K292" s="31" t="n">
        <v>0</v>
      </c>
      <c r="L292" s="31" t="n">
        <v>0</v>
      </c>
      <c r="M292" s="31" t="n">
        <v>0</v>
      </c>
      <c r="N292" s="21" t="inlineStr"/>
      <c r="O292" s="21" t="inlineStr"/>
      <c r="P292" s="21" t="inlineStr"/>
      <c r="Q292" s="21" t="inlineStr"/>
      <c r="R292" s="40" t="n">
        <v>50000</v>
      </c>
      <c r="S292" s="21" t="inlineStr">
        <is>
          <t>CP:R 190</t>
        </is>
      </c>
      <c r="T292" s="21" t="inlineStr">
        <is>
          <t>CHOOH² powered sportscar.</t>
        </is>
      </c>
    </row>
    <row r="293">
      <c r="A293" s="21" t="inlineStr">
        <is>
          <t>Super Groundcar</t>
        </is>
      </c>
      <c r="B293" s="21" t="inlineStr">
        <is>
          <t>Транспорт</t>
        </is>
      </c>
      <c r="C293" s="21" t="inlineStr"/>
      <c r="D293" s="21" t="inlineStr"/>
      <c r="E293" s="21" t="inlineStr"/>
      <c r="F293" s="31" t="n"/>
      <c r="G293" s="31" t="n"/>
      <c r="H293" s="31" t="n"/>
      <c r="I293" s="31" t="n"/>
      <c r="J293" s="31" t="n">
        <v>0</v>
      </c>
      <c r="K293" s="31" t="n">
        <v>0</v>
      </c>
      <c r="L293" s="31" t="n">
        <v>0</v>
      </c>
      <c r="M293" s="31" t="n">
        <v>0</v>
      </c>
      <c r="N293" s="21" t="inlineStr"/>
      <c r="O293" s="21" t="inlineStr"/>
      <c r="P293" s="21" t="inlineStr"/>
      <c r="Q293" s="21" t="inlineStr"/>
      <c r="R293" s="40" t="n">
        <v>10000</v>
      </c>
      <c r="S293" s="21" t="inlineStr">
        <is>
          <t>CP:R 190</t>
        </is>
      </c>
      <c r="T293" s="21" t="inlineStr">
        <is>
          <t>Exotic CHOOH² sportscar, capable of extreme speeds.</t>
        </is>
      </c>
    </row>
    <row r="294">
      <c r="A294" s="21" t="inlineStr">
        <is>
          <t>Jetski</t>
        </is>
      </c>
      <c r="B294" s="21" t="inlineStr">
        <is>
          <t>Транспорт</t>
        </is>
      </c>
      <c r="C294" s="21" t="inlineStr"/>
      <c r="D294" s="21" t="inlineStr"/>
      <c r="E294" s="21" t="inlineStr"/>
      <c r="F294" s="31" t="n"/>
      <c r="G294" s="31" t="n"/>
      <c r="H294" s="31" t="n"/>
      <c r="I294" s="31" t="n"/>
      <c r="J294" s="31" t="n">
        <v>0</v>
      </c>
      <c r="K294" s="31" t="n">
        <v>0</v>
      </c>
      <c r="L294" s="31" t="n">
        <v>0</v>
      </c>
      <c r="M294" s="31" t="n">
        <v>0</v>
      </c>
      <c r="N294" s="21" t="inlineStr"/>
      <c r="O294" s="21" t="inlineStr"/>
      <c r="P294" s="21" t="inlineStr"/>
      <c r="Q294" s="21" t="inlineStr"/>
      <c r="R294" s="40" t="n">
        <v>20000</v>
      </c>
      <c r="S294" s="21" t="inlineStr">
        <is>
          <t>CP:R 190</t>
        </is>
      </c>
      <c r="T294" s="21" t="inlineStr">
        <is>
          <t>Common CHOOH² powered personal watercraft.</t>
        </is>
      </c>
    </row>
    <row r="295">
      <c r="A295" s="21" t="inlineStr">
        <is>
          <t>Speedboat</t>
        </is>
      </c>
      <c r="B295" s="21" t="inlineStr">
        <is>
          <t>Транспорт</t>
        </is>
      </c>
      <c r="C295" s="21" t="inlineStr"/>
      <c r="D295" s="21" t="inlineStr"/>
      <c r="E295" s="21" t="inlineStr"/>
      <c r="F295" s="31" t="n"/>
      <c r="G295" s="31" t="n"/>
      <c r="H295" s="31" t="n"/>
      <c r="I295" s="31" t="n"/>
      <c r="J295" s="31" t="n">
        <v>0</v>
      </c>
      <c r="K295" s="31" t="n">
        <v>0</v>
      </c>
      <c r="L295" s="31" t="n">
        <v>0</v>
      </c>
      <c r="M295" s="31" t="n">
        <v>0</v>
      </c>
      <c r="N295" s="21" t="inlineStr"/>
      <c r="O295" s="21" t="inlineStr"/>
      <c r="P295" s="21" t="inlineStr"/>
      <c r="Q295" s="21" t="inlineStr"/>
      <c r="R295" s="40" t="n">
        <v>30000</v>
      </c>
      <c r="S295" s="21" t="inlineStr">
        <is>
          <t>CP:R 190</t>
        </is>
      </c>
      <c r="T295" s="21" t="inlineStr">
        <is>
          <t>CHOOH² powered speedboat.</t>
        </is>
      </c>
    </row>
    <row r="296">
      <c r="A296" s="21" t="inlineStr">
        <is>
          <t>Cabin Cruiser</t>
        </is>
      </c>
      <c r="B296" s="21" t="inlineStr">
        <is>
          <t>Транспорт</t>
        </is>
      </c>
      <c r="C296" s="21" t="inlineStr"/>
      <c r="D296" s="21" t="inlineStr"/>
      <c r="E296" s="21" t="inlineStr"/>
      <c r="F296" s="31" t="n"/>
      <c r="G296" s="31" t="n"/>
      <c r="H296" s="31" t="n"/>
      <c r="I296" s="31" t="n"/>
      <c r="J296" s="31" t="n">
        <v>0</v>
      </c>
      <c r="K296" s="31" t="n">
        <v>0</v>
      </c>
      <c r="L296" s="31" t="n">
        <v>0</v>
      </c>
      <c r="M296" s="31" t="n">
        <v>0</v>
      </c>
      <c r="N296" s="21" t="inlineStr"/>
      <c r="O296" s="21" t="inlineStr"/>
      <c r="P296" s="21" t="inlineStr"/>
      <c r="Q296" s="21" t="inlineStr"/>
      <c r="R296" s="40" t="n">
        <v>30000</v>
      </c>
      <c r="S296" s="21" t="inlineStr">
        <is>
          <t>CP:R 190</t>
        </is>
      </c>
      <c r="T296" s="21" t="inlineStr">
        <is>
          <t>Luxury CHOOH² powerboat with room to provide accommodations for a small, privileged few. Cabin Cruisers have customized rooms. 30000eb per room below deck (minimum two rooms).</t>
        </is>
      </c>
    </row>
    <row r="297">
      <c r="A297" s="21" t="inlineStr">
        <is>
          <t>Yacht</t>
        </is>
      </c>
      <c r="B297" s="21" t="inlineStr">
        <is>
          <t>Транспорт</t>
        </is>
      </c>
      <c r="C297" s="21" t="inlineStr"/>
      <c r="D297" s="21" t="inlineStr"/>
      <c r="E297" s="21" t="inlineStr"/>
      <c r="F297" s="31" t="n"/>
      <c r="G297" s="31" t="n"/>
      <c r="H297" s="31" t="n"/>
      <c r="I297" s="31" t="n"/>
      <c r="J297" s="31" t="n">
        <v>0</v>
      </c>
      <c r="K297" s="31" t="n">
        <v>0</v>
      </c>
      <c r="L297" s="31" t="n">
        <v>0</v>
      </c>
      <c r="M297" s="31" t="n">
        <v>0</v>
      </c>
      <c r="N297" s="21" t="inlineStr"/>
      <c r="O297" s="21" t="inlineStr"/>
      <c r="P297" s="21" t="inlineStr"/>
      <c r="Q297" s="21" t="inlineStr"/>
      <c r="R297" s="40" t="n">
        <v>50000</v>
      </c>
      <c r="S297" s="21" t="inlineStr">
        <is>
          <t>CP:R 190</t>
        </is>
      </c>
      <c r="T297" s="21" t="inlineStr">
        <is>
          <t>Luxury CHOOH² pleasurecraft with ample room to provide accommodations and entertainment for a host and their distinguished guests. Yachts have customized rooms. 50,000eb per room below or above deck (minimum four rooms).</t>
        </is>
      </c>
    </row>
    <row r="298">
      <c r="A298" s="21" t="inlineStr">
        <is>
          <t>Gyrocopter</t>
        </is>
      </c>
      <c r="B298" s="21" t="inlineStr">
        <is>
          <t>Транспорт</t>
        </is>
      </c>
      <c r="C298" s="21" t="inlineStr"/>
      <c r="D298" s="21" t="inlineStr"/>
      <c r="E298" s="21" t="inlineStr"/>
      <c r="F298" s="31" t="n"/>
      <c r="G298" s="31" t="n"/>
      <c r="H298" s="31" t="n"/>
      <c r="I298" s="31" t="n"/>
      <c r="J298" s="31" t="n">
        <v>0</v>
      </c>
      <c r="K298" s="31" t="n">
        <v>0</v>
      </c>
      <c r="L298" s="31" t="n">
        <v>0</v>
      </c>
      <c r="M298" s="31" t="n">
        <v>0</v>
      </c>
      <c r="N298" s="21" t="inlineStr"/>
      <c r="O298" s="21" t="inlineStr"/>
      <c r="P298" s="21" t="inlineStr"/>
      <c r="Q298" s="21" t="inlineStr"/>
      <c r="R298" s="40" t="n">
        <v>20000</v>
      </c>
      <c r="S298" s="21" t="inlineStr">
        <is>
          <t>CP:R 191</t>
        </is>
      </c>
      <c r="T298" s="21" t="inlineStr">
        <is>
          <t>A tiny CHOOH² powered rotorcraft favored by flying enthusiasts.</t>
        </is>
      </c>
    </row>
    <row r="299">
      <c r="A299" s="21" t="inlineStr">
        <is>
          <t>Helicopter</t>
        </is>
      </c>
      <c r="B299" s="21" t="inlineStr">
        <is>
          <t>Транспорт</t>
        </is>
      </c>
      <c r="C299" s="21" t="inlineStr"/>
      <c r="D299" s="21" t="inlineStr"/>
      <c r="E299" s="21" t="inlineStr"/>
      <c r="F299" s="31" t="n"/>
      <c r="G299" s="31" t="n"/>
      <c r="H299" s="31" t="n"/>
      <c r="I299" s="31" t="n"/>
      <c r="J299" s="31" t="n">
        <v>0</v>
      </c>
      <c r="K299" s="31" t="n">
        <v>0</v>
      </c>
      <c r="L299" s="31" t="n">
        <v>0</v>
      </c>
      <c r="M299" s="31" t="n">
        <v>0</v>
      </c>
      <c r="N299" s="21" t="inlineStr"/>
      <c r="O299" s="21" t="inlineStr"/>
      <c r="P299" s="21" t="inlineStr"/>
      <c r="Q299" s="21" t="inlineStr"/>
      <c r="R299" s="40" t="n">
        <v>40000</v>
      </c>
      <c r="S299" s="21" t="inlineStr">
        <is>
          <t>CP:R 191</t>
        </is>
      </c>
      <c r="T299" s="21" t="inlineStr">
        <is>
          <t>Full featured CHOOH² powered helicopter capable of sustained flight.</t>
        </is>
      </c>
    </row>
    <row r="300">
      <c r="A300" s="21" t="inlineStr">
        <is>
          <t>AV-4 Multipurpose Aerodyne</t>
        </is>
      </c>
      <c r="B300" s="21" t="inlineStr">
        <is>
          <t>Транспорт</t>
        </is>
      </c>
      <c r="C300" s="21" t="inlineStr"/>
      <c r="D300" s="21" t="inlineStr"/>
      <c r="E300" s="21" t="inlineStr"/>
      <c r="F300" s="31" t="n"/>
      <c r="G300" s="31" t="n"/>
      <c r="H300" s="31" t="n"/>
      <c r="I300" s="31" t="n"/>
      <c r="J300" s="31" t="n">
        <v>0</v>
      </c>
      <c r="K300" s="31" t="n">
        <v>0</v>
      </c>
      <c r="L300" s="31" t="n">
        <v>0</v>
      </c>
      <c r="M300" s="31" t="n">
        <v>0</v>
      </c>
      <c r="N300" s="21" t="inlineStr"/>
      <c r="O300" s="21" t="inlineStr"/>
      <c r="P300" s="21" t="inlineStr"/>
      <c r="Q300" s="21" t="inlineStr"/>
      <c r="R300" s="40" t="n">
        <v>50000</v>
      </c>
      <c r="S300" s="21" t="inlineStr">
        <is>
          <t>CP:R 191</t>
        </is>
      </c>
      <c r="T300" s="21" t="inlineStr">
        <is>
          <t>Highly advanced CHOOH² vertical thrust engine powered flying vehicle.</t>
        </is>
      </c>
    </row>
    <row r="301">
      <c r="A301" s="21" t="inlineStr">
        <is>
          <t>AV-9 Super Aerodyne</t>
        </is>
      </c>
      <c r="B301" s="21" t="inlineStr">
        <is>
          <t>Транспорт</t>
        </is>
      </c>
      <c r="C301" s="21" t="inlineStr"/>
      <c r="D301" s="21" t="inlineStr"/>
      <c r="E301" s="21" t="inlineStr"/>
      <c r="F301" s="31" t="n"/>
      <c r="G301" s="31" t="n"/>
      <c r="H301" s="31" t="n"/>
      <c r="I301" s="31" t="n"/>
      <c r="J301" s="31" t="n">
        <v>0</v>
      </c>
      <c r="K301" s="31" t="n">
        <v>0</v>
      </c>
      <c r="L301" s="31" t="n">
        <v>0</v>
      </c>
      <c r="M301" s="31" t="n">
        <v>0</v>
      </c>
      <c r="N301" s="21" t="inlineStr"/>
      <c r="O301" s="21" t="inlineStr"/>
      <c r="P301" s="21" t="inlineStr"/>
      <c r="Q301" s="21" t="inlineStr"/>
      <c r="R301" s="40" t="n">
        <v>100000</v>
      </c>
      <c r="S301" s="21" t="inlineStr">
        <is>
          <t>CP:R 191</t>
        </is>
      </c>
      <c r="T301" s="21" t="inlineStr">
        <is>
          <t>Exotic CHOOH² vertical thrust engine flying vehicle, capable of extreme speeds.</t>
        </is>
      </c>
    </row>
    <row r="302">
      <c r="A302" s="21" t="inlineStr">
        <is>
          <t>Aerozep</t>
        </is>
      </c>
      <c r="B302" s="21" t="inlineStr">
        <is>
          <t>Транспорт</t>
        </is>
      </c>
      <c r="C302" s="21" t="inlineStr"/>
      <c r="D302" s="21" t="inlineStr"/>
      <c r="E302" s="21" t="inlineStr"/>
      <c r="F302" s="31" t="n"/>
      <c r="G302" s="31" t="n"/>
      <c r="H302" s="31" t="n"/>
      <c r="I302" s="31" t="n"/>
      <c r="J302" s="31" t="n">
        <v>0</v>
      </c>
      <c r="K302" s="31" t="n">
        <v>0</v>
      </c>
      <c r="L302" s="31" t="n">
        <v>0</v>
      </c>
      <c r="M302" s="31" t="n">
        <v>0</v>
      </c>
      <c r="N302" s="21" t="inlineStr"/>
      <c r="O302" s="21" t="inlineStr"/>
      <c r="P302" s="21" t="inlineStr"/>
      <c r="Q302" s="21" t="inlineStr"/>
      <c r="R302" s="40" t="n">
        <v>30000</v>
      </c>
      <c r="S302" s="21" t="inlineStr">
        <is>
          <t>CP:R 191</t>
        </is>
      </c>
      <c r="T302" s="21" t="inlineStr">
        <is>
          <t>Modern cargo blimps that range wildly in size depending on their function. Aerozeps have customized rooms. 50,000eb per room below deck (minimum two rooms).</t>
        </is>
      </c>
    </row>
    <row r="303">
      <c r="A303" s="21" t="inlineStr">
        <is>
          <t>SH-45 Patroller</t>
        </is>
      </c>
      <c r="B303" s="21" t="inlineStr">
        <is>
          <t>Транспорт</t>
        </is>
      </c>
      <c r="C303" s="21" t="inlineStr"/>
      <c r="D303" s="21" t="inlineStr"/>
      <c r="E303" s="21" t="inlineStr"/>
      <c r="F303" s="31" t="n"/>
      <c r="G303" s="31" t="n"/>
      <c r="H303" s="31" t="n"/>
      <c r="I303" s="31" t="n">
        <v>15</v>
      </c>
      <c r="J303" s="31" t="n">
        <v>0</v>
      </c>
      <c r="K303" s="31" t="n">
        <v>0</v>
      </c>
      <c r="L303" s="31" t="n">
        <v>0</v>
      </c>
      <c r="M303" s="31" t="n">
        <v>0</v>
      </c>
      <c r="N303" s="21" t="inlineStr"/>
      <c r="O303" s="21" t="inlineStr"/>
      <c r="P303" s="21" t="inlineStr"/>
      <c r="Q303" s="21" t="inlineStr"/>
      <c r="R303" s="40" t="n">
        <v>16000</v>
      </c>
      <c r="S303" s="21" t="inlineStr">
        <is>
          <t>BC 58</t>
        </is>
      </c>
      <c r="T303" s="21" t="inlineStr">
        <is>
          <t>The Dayton SH-45 Patroller is a serious upgrade to the old Dayton SH-35. The most striking change was replacing the open cockpit of the SH-35 with an enclosed one just large enough for the pilot. All the essential inform</t>
        </is>
      </c>
    </row>
    <row r="304">
      <c r="A304" s="21" t="inlineStr">
        <is>
          <t>SH-45 Patroller Law</t>
        </is>
      </c>
      <c r="B304" s="21" t="inlineStr">
        <is>
          <t>Транспорт</t>
        </is>
      </c>
      <c r="C304" s="21" t="inlineStr"/>
      <c r="D304" s="21" t="inlineStr"/>
      <c r="E304" s="21" t="inlineStr"/>
      <c r="F304" s="31" t="n"/>
      <c r="G304" s="31" t="n"/>
      <c r="H304" s="31" t="n"/>
      <c r="I304" s="31" t="n">
        <v>30</v>
      </c>
      <c r="J304" s="31" t="n">
        <v>0</v>
      </c>
      <c r="K304" s="31" t="n">
        <v>0</v>
      </c>
      <c r="L304" s="31" t="n">
        <v>0</v>
      </c>
      <c r="M304" s="31" t="n">
        <v>0</v>
      </c>
      <c r="N304" s="21" t="inlineStr"/>
      <c r="O304" s="21" t="inlineStr"/>
      <c r="P304" s="21" t="inlineStr"/>
      <c r="Q304" s="21" t="inlineStr"/>
      <c r="R304" s="40" t="n">
        <v>21000</v>
      </c>
      <c r="S304" s="21" t="inlineStr">
        <is>
          <t>BC 58</t>
        </is>
      </c>
      <c r="T304" s="21" t="inlineStr">
        <is>
          <t>The Patroller Law is a Gyrocopter with only one seat, two Bulletproof Glass Upgrades, and an Onboard Machine Gun. It is incompatible with the Seating Upgrade.</t>
        </is>
      </c>
    </row>
    <row r="305">
      <c r="A305" s="21" t="inlineStr">
        <is>
          <t>Dayton TDT 004</t>
        </is>
      </c>
      <c r="B305" s="21" t="inlineStr">
        <is>
          <t>Транспорт</t>
        </is>
      </c>
      <c r="C305" s="21" t="inlineStr"/>
      <c r="D305" s="21" t="inlineStr"/>
      <c r="E305" s="21" t="inlineStr"/>
      <c r="F305" s="31" t="n"/>
      <c r="G305" s="31" t="n"/>
      <c r="H305" s="31" t="n"/>
      <c r="I305" s="31" t="n"/>
      <c r="J305" s="31" t="n">
        <v>0</v>
      </c>
      <c r="K305" s="31" t="n">
        <v>0</v>
      </c>
      <c r="L305" s="31" t="n">
        <v>0</v>
      </c>
      <c r="M305" s="31" t="n">
        <v>0</v>
      </c>
      <c r="N305" s="21" t="inlineStr"/>
      <c r="O305" s="21" t="inlineStr"/>
      <c r="P305" s="21" t="inlineStr"/>
      <c r="Q305" s="21" t="inlineStr"/>
      <c r="R305" s="40" t="n">
        <v>43000</v>
      </c>
      <c r="S305" s="21" t="inlineStr">
        <is>
          <t>BC 59</t>
        </is>
      </c>
      <c r="T305" s="21" t="inlineStr">
        <is>
          <t>The TDT’s design is a grand step forward in the world of troop transport at a price that notably undercuts Militech and other military vendors. At its size, it is unrivaled in speed and durability. Its sleek frame is aer</t>
        </is>
      </c>
    </row>
    <row r="306">
      <c r="A306" s="21" t="inlineStr">
        <is>
          <t>Tanson Bellhop</t>
        </is>
      </c>
      <c r="B306" s="21" t="inlineStr">
        <is>
          <t>Транспорт</t>
        </is>
      </c>
      <c r="C306" s="21" t="inlineStr"/>
      <c r="D306" s="21" t="inlineStr"/>
      <c r="E306" s="21" t="inlineStr"/>
      <c r="F306" s="31" t="n"/>
      <c r="G306" s="31" t="n"/>
      <c r="H306" s="31" t="n"/>
      <c r="I306" s="31" t="n"/>
      <c r="J306" s="31" t="n">
        <v>0</v>
      </c>
      <c r="K306" s="31" t="n">
        <v>0</v>
      </c>
      <c r="L306" s="31" t="n">
        <v>0</v>
      </c>
      <c r="M306" s="31" t="n">
        <v>0</v>
      </c>
      <c r="N306" s="21" t="inlineStr"/>
      <c r="O306" s="21" t="inlineStr"/>
      <c r="P306" s="21" t="inlineStr"/>
      <c r="Q306" s="21" t="inlineStr"/>
      <c r="R306" s="40" t="n">
        <v>16000</v>
      </c>
      <c r="S306" s="21" t="inlineStr">
        <is>
          <t>BC 60</t>
        </is>
      </c>
      <c r="T306" s="21" t="inlineStr">
        <is>
          <t>Laugh all you want but K-pop performers have made the Tanson Bellhop the trendiest transport copter of 2045. Folded down, the Bellhop can be wheeled around like a large piece of luggage. When activated, the case opens in</t>
        </is>
      </c>
    </row>
    <row r="307">
      <c r="A307" s="21" t="inlineStr">
        <is>
          <t>Zetatech AeroVox</t>
        </is>
      </c>
      <c r="B307" s="21" t="inlineStr">
        <is>
          <t>Транспорт</t>
        </is>
      </c>
      <c r="C307" s="21" t="inlineStr"/>
      <c r="D307" s="21" t="inlineStr"/>
      <c r="E307" s="21" t="inlineStr"/>
      <c r="F307" s="31" t="n"/>
      <c r="G307" s="31" t="n"/>
      <c r="H307" s="31" t="n"/>
      <c r="I307" s="31" t="n"/>
      <c r="J307" s="31" t="n">
        <v>0</v>
      </c>
      <c r="K307" s="31" t="n">
        <v>0</v>
      </c>
      <c r="L307" s="31" t="n">
        <v>0</v>
      </c>
      <c r="M307" s="31" t="n">
        <v>0</v>
      </c>
      <c r="N307" s="21" t="inlineStr"/>
      <c r="O307" s="21" t="inlineStr"/>
      <c r="P307" s="21" t="inlineStr"/>
      <c r="Q307" s="21" t="inlineStr"/>
      <c r="R307" s="40" t="n">
        <v>51000</v>
      </c>
      <c r="S307" s="21" t="inlineStr">
        <is>
          <t>BC 61</t>
        </is>
      </c>
      <c r="T307" s="21" t="inlineStr">
        <is>
          <t>The Zetatech AeroVox is an economy-class aerodyne popular with up-and-coming corporate types with just enough cash to afford a full-size aerodyne and a bland taste for something standard and dependable. Since entering th</t>
        </is>
      </c>
    </row>
    <row r="308">
      <c r="A308" s="21" t="inlineStr">
        <is>
          <t>Zetatech AeroCop</t>
        </is>
      </c>
      <c r="B308" s="21" t="inlineStr">
        <is>
          <t>Транспорт</t>
        </is>
      </c>
      <c r="C308" s="21" t="inlineStr"/>
      <c r="D308" s="21" t="inlineStr"/>
      <c r="E308" s="21" t="inlineStr"/>
      <c r="F308" s="31" t="n"/>
      <c r="G308" s="31" t="n"/>
      <c r="H308" s="31" t="n">
        <v>13</v>
      </c>
      <c r="I308" s="31" t="n">
        <v>30</v>
      </c>
      <c r="J308" s="31" t="n">
        <v>0</v>
      </c>
      <c r="K308" s="31" t="n">
        <v>0</v>
      </c>
      <c r="L308" s="31" t="n">
        <v>0</v>
      </c>
      <c r="M308" s="31" t="n">
        <v>0</v>
      </c>
      <c r="N308" s="21" t="inlineStr"/>
      <c r="O308" s="21" t="inlineStr"/>
      <c r="P308" s="21" t="inlineStr"/>
      <c r="Q308" s="21" t="inlineStr"/>
      <c r="R308" s="40" t="n">
        <v>58000</v>
      </c>
      <c r="S308" s="21" t="inlineStr">
        <is>
          <t>BC 61</t>
        </is>
      </c>
      <c r="T308" s="21" t="inlineStr">
        <is>
          <t>The AeroCop is an AV4 Multipurpose Aerodyne with a Heavy Chassis, Armored Chassis, two Bulletproof Glass Upgrades, and an Onboard Machine Gun.</t>
        </is>
      </c>
    </row>
    <row r="309">
      <c r="A309" s="21" t="inlineStr">
        <is>
          <t>Zetatech Destination</t>
        </is>
      </c>
      <c r="B309" s="21" t="inlineStr">
        <is>
          <t>Транспорт</t>
        </is>
      </c>
      <c r="C309" s="21" t="inlineStr"/>
      <c r="D309" s="21" t="inlineStr"/>
      <c r="E309" s="21" t="inlineStr"/>
      <c r="F309" s="31" t="n"/>
      <c r="G309" s="31" t="n"/>
      <c r="H309" s="31" t="n"/>
      <c r="I309" s="31" t="n"/>
      <c r="J309" s="31" t="n">
        <v>0</v>
      </c>
      <c r="K309" s="31" t="n">
        <v>0</v>
      </c>
      <c r="L309" s="31" t="n">
        <v>0</v>
      </c>
      <c r="M309" s="31" t="n">
        <v>0</v>
      </c>
      <c r="N309" s="21" t="inlineStr"/>
      <c r="O309" s="21" t="inlineStr"/>
      <c r="P309" s="21" t="inlineStr"/>
      <c r="Q309" s="21" t="inlineStr"/>
      <c r="R309" s="40" t="n">
        <v>40000</v>
      </c>
      <c r="S309" s="21" t="inlineStr">
        <is>
          <t>BC 62</t>
        </is>
      </c>
      <c r="T309" s="21" t="inlineStr">
        <is>
          <t>The Zetatech Destination is a standard compact aerodyne for the modern age. Widely considered affordable and reliable for an a vehicle in its class, Zetatech brags they’ve sold more than 2 million units globally. While n</t>
        </is>
      </c>
    </row>
    <row r="310">
      <c r="A310" s="21" t="inlineStr">
        <is>
          <t>Zetatech Herakles</t>
        </is>
      </c>
      <c r="B310" s="21" t="inlineStr">
        <is>
          <t>Транспорт</t>
        </is>
      </c>
      <c r="C310" s="21" t="inlineStr"/>
      <c r="D310" s="21" t="inlineStr"/>
      <c r="E310" s="21" t="inlineStr"/>
      <c r="F310" s="31" t="n"/>
      <c r="G310" s="31" t="n"/>
      <c r="H310" s="31" t="n">
        <v>13</v>
      </c>
      <c r="I310" s="31" t="n">
        <v>15</v>
      </c>
      <c r="J310" s="31" t="n">
        <v>0</v>
      </c>
      <c r="K310" s="31" t="n">
        <v>0</v>
      </c>
      <c r="L310" s="31" t="n">
        <v>0</v>
      </c>
      <c r="M310" s="31" t="n">
        <v>0</v>
      </c>
      <c r="N310" s="21" t="inlineStr"/>
      <c r="O310" s="21" t="inlineStr"/>
      <c r="P310" s="21" t="inlineStr"/>
      <c r="Q310" s="21" t="inlineStr"/>
      <c r="R310" s="40" t="n">
        <v>63000</v>
      </c>
      <c r="S310" s="21" t="inlineStr">
        <is>
          <t>BC 63 · DGD 112</t>
        </is>
      </c>
      <c r="T310" s="21" t="inlineStr">
        <is>
          <t>The Zetatech Herakles is a workhose of an aerodyne designed specifically for the defense market. Perfect for both troop transport and crowd control, the Herakles has proven popular with private security providers and C-S</t>
        </is>
      </c>
    </row>
    <row r="311">
      <c r="A311" s="21" t="inlineStr">
        <is>
          <t>AmeriCar EconoCompact</t>
        </is>
      </c>
      <c r="B311" s="21" t="inlineStr">
        <is>
          <t>Транспорт</t>
        </is>
      </c>
      <c r="C311" s="21" t="inlineStr"/>
      <c r="D311" s="21" t="inlineStr"/>
      <c r="E311" s="21" t="inlineStr"/>
      <c r="F311" s="31" t="n"/>
      <c r="G311" s="31" t="n"/>
      <c r="H311" s="31" t="n"/>
      <c r="I311" s="31" t="n"/>
      <c r="J311" s="31" t="n">
        <v>0</v>
      </c>
      <c r="K311" s="31" t="n">
        <v>0</v>
      </c>
      <c r="L311" s="31" t="n">
        <v>0</v>
      </c>
      <c r="M311" s="31" t="n">
        <v>0</v>
      </c>
      <c r="N311" s="21" t="inlineStr"/>
      <c r="O311" s="21" t="inlineStr"/>
      <c r="P311" s="21" t="inlineStr"/>
      <c r="Q311" s="21" t="inlineStr"/>
      <c r="R311" s="40" t="n">
        <v>20000</v>
      </c>
      <c r="S311" s="21" t="inlineStr">
        <is>
          <t>BC 64</t>
        </is>
      </c>
      <c r="T311" s="21" t="inlineStr">
        <is>
          <t>Rising from the Corporate ashes of New American Motors, the EconoCompact, AmeriCar’s flagship product, is a highly affordable, no-frills, reliable automobile. It appeals to those who can’t afford a typical compact but st</t>
        </is>
      </c>
    </row>
    <row r="312">
      <c r="A312" s="21" t="inlineStr">
        <is>
          <t>AmeriCar Family Star Van</t>
        </is>
      </c>
      <c r="B312" s="21" t="inlineStr">
        <is>
          <t>Транспорт</t>
        </is>
      </c>
      <c r="C312" s="21" t="inlineStr"/>
      <c r="D312" s="21" t="inlineStr"/>
      <c r="E312" s="21" t="inlineStr"/>
      <c r="F312" s="31" t="n"/>
      <c r="G312" s="31" t="n"/>
      <c r="H312" s="31" t="n"/>
      <c r="I312" s="31" t="n"/>
      <c r="J312" s="31" t="n">
        <v>0</v>
      </c>
      <c r="K312" s="31" t="n">
        <v>0</v>
      </c>
      <c r="L312" s="31" t="n">
        <v>0</v>
      </c>
      <c r="M312" s="31" t="n">
        <v>0</v>
      </c>
      <c r="N312" s="21" t="inlineStr"/>
      <c r="O312" s="21" t="inlineStr"/>
      <c r="P312" s="21" t="inlineStr"/>
      <c r="Q312" s="21" t="inlineStr"/>
      <c r="R312" s="40" t="n">
        <v>31000</v>
      </c>
      <c r="S312" s="21" t="inlineStr">
        <is>
          <t>BC 65</t>
        </is>
      </c>
      <c r="T312" s="21" t="inlineStr">
        <is>
          <t>When it comes to family comfort and transportation, look no further than the AmeriCar Family Star. Following AmeriCar’s plan for affordable, modern transport, the Family Star makes waves with its throwback design and com</t>
        </is>
      </c>
    </row>
    <row r="313">
      <c r="A313" s="21" t="inlineStr">
        <is>
          <t>Diego Motors Chupacabra</t>
        </is>
      </c>
      <c r="B313" s="21" t="inlineStr">
        <is>
          <t>Транспорт</t>
        </is>
      </c>
      <c r="C313" s="21" t="inlineStr"/>
      <c r="D313" s="21" t="inlineStr"/>
      <c r="E313" s="21" t="inlineStr"/>
      <c r="F313" s="31" t="n"/>
      <c r="G313" s="31" t="n"/>
      <c r="H313" s="31" t="n"/>
      <c r="I313" s="31" t="n"/>
      <c r="J313" s="31" t="n">
        <v>0</v>
      </c>
      <c r="K313" s="31" t="n">
        <v>0</v>
      </c>
      <c r="L313" s="31" t="n">
        <v>0</v>
      </c>
      <c r="M313" s="31" t="n">
        <v>0</v>
      </c>
      <c r="N313" s="21" t="inlineStr"/>
      <c r="O313" s="21" t="inlineStr"/>
      <c r="P313" s="21" t="inlineStr"/>
      <c r="Q313" s="21" t="inlineStr"/>
      <c r="R313" s="40" t="n">
        <v>37000</v>
      </c>
      <c r="S313" s="21" t="inlineStr">
        <is>
          <t>BC 66 · DGD 139</t>
        </is>
      </c>
      <c r="T313" s="21" t="inlineStr">
        <is>
          <t>Diego Motors knows how to make no-nonsense transportation, and the Chupacabra is the perfect example. The bastard child of an off-roader and a military vehicle that dreamed of being a muscle car when it grew up, the Chup</t>
        </is>
      </c>
    </row>
    <row r="314">
      <c r="A314" s="21" t="inlineStr">
        <is>
          <t>Diego Motors Range Trike</t>
        </is>
      </c>
      <c r="B314" s="21" t="inlineStr">
        <is>
          <t>Транспорт</t>
        </is>
      </c>
      <c r="C314" s="21" t="inlineStr"/>
      <c r="D314" s="21" t="inlineStr"/>
      <c r="E314" s="21" t="inlineStr"/>
      <c r="F314" s="31" t="n"/>
      <c r="G314" s="31" t="n"/>
      <c r="H314" s="31" t="n">
        <v>13</v>
      </c>
      <c r="I314" s="31" t="n"/>
      <c r="J314" s="31" t="n">
        <v>0</v>
      </c>
      <c r="K314" s="31" t="n">
        <v>0</v>
      </c>
      <c r="L314" s="31" t="n">
        <v>0</v>
      </c>
      <c r="M314" s="31" t="n">
        <v>0</v>
      </c>
      <c r="N314" s="21" t="inlineStr"/>
      <c r="O314" s="21" t="inlineStr"/>
      <c r="P314" s="21" t="inlineStr"/>
      <c r="Q314" s="21" t="inlineStr"/>
      <c r="R314" s="40" t="n">
        <v>31000</v>
      </c>
      <c r="S314" s="21" t="inlineStr">
        <is>
          <t>BC 67</t>
        </is>
      </c>
      <c r="T314" s="21" t="inlineStr">
        <is>
          <t>The Range Trike is the product of Diego Motors, a company run by a distant offshoot of the Jode Family operating primarily in South America. These Nomads have a natural talent for making custom trikes. Each piece is hand</t>
        </is>
      </c>
    </row>
    <row r="315">
      <c r="A315" s="21" t="inlineStr">
        <is>
          <t>The Grundy</t>
        </is>
      </c>
      <c r="B315" s="21" t="inlineStr">
        <is>
          <t>Транспорт</t>
        </is>
      </c>
      <c r="C315" s="21" t="inlineStr"/>
      <c r="D315" s="21" t="inlineStr"/>
      <c r="E315" s="21" t="inlineStr"/>
      <c r="F315" s="31" t="n"/>
      <c r="G315" s="31" t="n"/>
      <c r="H315" s="31" t="n">
        <v>13</v>
      </c>
      <c r="I315" s="31" t="n"/>
      <c r="J315" s="31" t="n">
        <v>0</v>
      </c>
      <c r="K315" s="31" t="n">
        <v>0</v>
      </c>
      <c r="L315" s="31" t="n">
        <v>0</v>
      </c>
      <c r="M315" s="31" t="n">
        <v>0</v>
      </c>
      <c r="N315" s="21" t="inlineStr"/>
      <c r="O315" s="21" t="inlineStr"/>
      <c r="P315" s="21" t="inlineStr"/>
      <c r="Q315" s="21" t="inlineStr"/>
      <c r="R315" s="40" t="n">
        <v>41000</v>
      </c>
      <c r="S315" s="21" t="inlineStr">
        <is>
          <t>BC 68</t>
        </is>
      </c>
      <c r="T315" s="21" t="inlineStr">
        <is>
          <t>After running out of space in their junkyards, Grundy Salvage International decided to diversify their business. They started by pulling all the armor plating they had and stacking it in one part of their yard. They then</t>
        </is>
      </c>
    </row>
    <row r="316">
      <c r="A316" s="21" t="inlineStr">
        <is>
          <t>The Harvey 100</t>
        </is>
      </c>
      <c r="B316" s="21" t="inlineStr">
        <is>
          <t>Транспорт</t>
        </is>
      </c>
      <c r="C316" s="21" t="inlineStr"/>
      <c r="D316" s="21" t="inlineStr"/>
      <c r="E316" s="21" t="inlineStr"/>
      <c r="F316" s="31" t="n"/>
      <c r="G316" s="31" t="n"/>
      <c r="H316" s="31" t="n"/>
      <c r="I316" s="31" t="n"/>
      <c r="J316" s="31" t="n">
        <v>0</v>
      </c>
      <c r="K316" s="31" t="n">
        <v>0</v>
      </c>
      <c r="L316" s="31" t="n">
        <v>0</v>
      </c>
      <c r="M316" s="31" t="n">
        <v>0</v>
      </c>
      <c r="N316" s="21" t="inlineStr"/>
      <c r="O316" s="21" t="inlineStr"/>
      <c r="P316" s="21" t="inlineStr"/>
      <c r="Q316" s="21" t="inlineStr"/>
      <c r="R316" s="40" t="n">
        <v>20000</v>
      </c>
      <c r="S316" s="21" t="inlineStr">
        <is>
          <t>BC 69</t>
        </is>
      </c>
      <c r="T316" s="21" t="inlineStr">
        <is>
          <t>The Harvey 100 was marketed as the “motorcycle for everyone” but became better known for its number of cross-used parts from older motorcycles, with one reviewer dubbing it the “Frankenbike”. But it was this feature of i</t>
        </is>
      </c>
    </row>
    <row r="317">
      <c r="A317" s="21" t="inlineStr">
        <is>
          <t>The Harriet 100</t>
        </is>
      </c>
      <c r="B317" s="21" t="inlineStr">
        <is>
          <t>Транспорт</t>
        </is>
      </c>
      <c r="C317" s="21" t="inlineStr"/>
      <c r="D317" s="21" t="inlineStr"/>
      <c r="E317" s="21" t="inlineStr"/>
      <c r="F317" s="31" t="n"/>
      <c r="G317" s="31" t="n"/>
      <c r="H317" s="31" t="n"/>
      <c r="I317" s="31" t="n"/>
      <c r="J317" s="31" t="n">
        <v>0</v>
      </c>
      <c r="K317" s="31" t="n">
        <v>0</v>
      </c>
      <c r="L317" s="31" t="n">
        <v>0</v>
      </c>
      <c r="M317" s="31" t="n">
        <v>0</v>
      </c>
      <c r="N317" s="21" t="inlineStr"/>
      <c r="O317" s="21" t="inlineStr"/>
      <c r="P317" s="21" t="inlineStr"/>
      <c r="Q317" s="21" t="inlineStr"/>
      <c r="R317" s="40" t="n">
        <v>21000</v>
      </c>
      <c r="S317" s="21" t="inlineStr">
        <is>
          <t>BC 69</t>
        </is>
      </c>
      <c r="T317" s="21" t="inlineStr">
        <is>
          <t>The Harriet 100 is a Roadbike with a Smuggling Upgrade.</t>
        </is>
      </c>
    </row>
    <row r="318">
      <c r="A318" s="21" t="inlineStr">
        <is>
          <t>The Harvey Merc</t>
        </is>
      </c>
      <c r="B318" s="21" t="inlineStr">
        <is>
          <t>Транспорт</t>
        </is>
      </c>
      <c r="C318" s="21" t="inlineStr"/>
      <c r="D318" s="21" t="inlineStr"/>
      <c r="E318" s="21" t="inlineStr"/>
      <c r="F318" s="31" t="n"/>
      <c r="G318" s="31" t="n"/>
      <c r="H318" s="31" t="n"/>
      <c r="I318" s="31" t="n"/>
      <c r="J318" s="31" t="n">
        <v>0</v>
      </c>
      <c r="K318" s="31" t="n">
        <v>0</v>
      </c>
      <c r="L318" s="31" t="n">
        <v>0</v>
      </c>
      <c r="M318" s="31" t="n">
        <v>0</v>
      </c>
      <c r="N318" s="21" t="inlineStr"/>
      <c r="O318" s="21" t="inlineStr"/>
      <c r="P318" s="21" t="inlineStr"/>
      <c r="Q318" s="21" t="inlineStr"/>
      <c r="R318" s="40" t="n">
        <v>30000</v>
      </c>
      <c r="S318" s="21" t="inlineStr">
        <is>
          <t>BC 69</t>
        </is>
      </c>
      <c r="T318" s="21" t="inlineStr">
        <is>
          <t>The Harvey Merc is a Roadbike with an Onboard Machine Gun and Onboard Rocket Pod.</t>
        </is>
      </c>
    </row>
    <row r="319">
      <c r="A319" s="21" t="inlineStr">
        <is>
          <t>Highway Master Artemis</t>
        </is>
      </c>
      <c r="B319" s="21" t="inlineStr">
        <is>
          <t>Транспорт</t>
        </is>
      </c>
      <c r="C319" s="21" t="inlineStr"/>
      <c r="D319" s="21" t="inlineStr"/>
      <c r="E319" s="21" t="inlineStr"/>
      <c r="F319" s="31" t="n"/>
      <c r="G319" s="31" t="n"/>
      <c r="H319" s="31" t="n">
        <v>13</v>
      </c>
      <c r="I319" s="31" t="n">
        <v>30</v>
      </c>
      <c r="J319" s="31" t="n">
        <v>0</v>
      </c>
      <c r="K319" s="31" t="n">
        <v>0</v>
      </c>
      <c r="L319" s="31" t="n">
        <v>0</v>
      </c>
      <c r="M319" s="31" t="n">
        <v>0</v>
      </c>
      <c r="N319" s="21" t="inlineStr"/>
      <c r="O319" s="21" t="inlineStr"/>
      <c r="P319" s="21" t="inlineStr"/>
      <c r="Q319" s="21" t="inlineStr"/>
      <c r="R319" s="40" t="n">
        <v>60000</v>
      </c>
      <c r="S319" s="21" t="inlineStr">
        <is>
          <t>BC 70</t>
        </is>
      </c>
      <c r="T319" s="21" t="inlineStr">
        <is>
          <t>The Highway Master Artemis from Brennan is a luxurious street chariot for the new age. The bike drives like a low-rider, with a sleek canopy sliding over the driver to create a self-contained environment — bulletproof, o</t>
        </is>
      </c>
    </row>
    <row r="320">
      <c r="A320" s="21" t="inlineStr">
        <is>
          <t>Kaukaz Volkhov</t>
        </is>
      </c>
      <c r="B320" s="21" t="inlineStr">
        <is>
          <t>Транспорт</t>
        </is>
      </c>
      <c r="C320" s="21" t="inlineStr"/>
      <c r="D320" s="21" t="inlineStr"/>
      <c r="E320" s="21" t="inlineStr"/>
      <c r="F320" s="31" t="n"/>
      <c r="G320" s="31" t="n"/>
      <c r="H320" s="31" t="n">
        <v>13</v>
      </c>
      <c r="I320" s="31" t="n"/>
      <c r="J320" s="31" t="n">
        <v>0</v>
      </c>
      <c r="K320" s="31" t="n">
        <v>0</v>
      </c>
      <c r="L320" s="31" t="n">
        <v>0</v>
      </c>
      <c r="M320" s="31" t="n">
        <v>0</v>
      </c>
      <c r="N320" s="21" t="inlineStr"/>
      <c r="O320" s="21" t="inlineStr"/>
      <c r="P320" s="21" t="inlineStr"/>
      <c r="Q320" s="21" t="inlineStr"/>
      <c r="R320" s="40" t="n">
        <v>41000</v>
      </c>
      <c r="S320" s="21" t="inlineStr">
        <is>
          <t>BC 71</t>
        </is>
      </c>
      <c r="T320" s="21" t="inlineStr">
        <is>
          <t>The Kaukaz Volkhov is a multipurpose armored pickup truck offering plenty of cargo space, a hauling capacity of 8 tons, and a reinforced frame and chassis. The Volkhov is most often associated with SovOil security forces</t>
        </is>
      </c>
    </row>
    <row r="321">
      <c r="A321" s="21" t="inlineStr">
        <is>
          <t>Makigai Ebi</t>
        </is>
      </c>
      <c r="B321" s="21" t="inlineStr">
        <is>
          <t>Транспорт</t>
        </is>
      </c>
      <c r="C321" s="21" t="inlineStr"/>
      <c r="D321" s="21" t="inlineStr"/>
      <c r="E321" s="21" t="inlineStr"/>
      <c r="F321" s="31" t="n"/>
      <c r="G321" s="31" t="n"/>
      <c r="H321" s="31" t="n"/>
      <c r="I321" s="31" t="n"/>
      <c r="J321" s="31" t="n">
        <v>0</v>
      </c>
      <c r="K321" s="31" t="n">
        <v>0</v>
      </c>
      <c r="L321" s="31" t="n">
        <v>0</v>
      </c>
      <c r="M321" s="31" t="n">
        <v>0</v>
      </c>
      <c r="N321" s="21" t="inlineStr"/>
      <c r="O321" s="21" t="inlineStr"/>
      <c r="P321" s="21" t="inlineStr"/>
      <c r="Q321" s="21" t="inlineStr"/>
      <c r="R321" s="40" t="n">
        <v>23000</v>
      </c>
      <c r="S321" s="21" t="inlineStr">
        <is>
          <t>BC 72</t>
        </is>
      </c>
      <c r="T321" s="21" t="inlineStr">
        <is>
          <t>The Makigai Ebi is a reliable mini-hatchback built for the city. It has great fuel efficiency, decent cargo space, comfortable seating, and better-than-average environmental controls. What more could you want? Most Ebi a</t>
        </is>
      </c>
    </row>
    <row r="322">
      <c r="A322" s="21" t="inlineStr">
        <is>
          <t>Militech Gorgon Security Van</t>
        </is>
      </c>
      <c r="B322" s="21" t="inlineStr">
        <is>
          <t>Транспорт</t>
        </is>
      </c>
      <c r="C322" s="21" t="inlineStr"/>
      <c r="D322" s="21" t="inlineStr"/>
      <c r="E322" s="21" t="inlineStr"/>
      <c r="F322" s="31" t="n"/>
      <c r="G322" s="31" t="n"/>
      <c r="H322" s="31" t="n">
        <v>13</v>
      </c>
      <c r="I322" s="31" t="n">
        <v>15</v>
      </c>
      <c r="J322" s="31" t="n">
        <v>0</v>
      </c>
      <c r="K322" s="31" t="n">
        <v>0</v>
      </c>
      <c r="L322" s="31" t="n">
        <v>0</v>
      </c>
      <c r="M322" s="31" t="n">
        <v>0</v>
      </c>
      <c r="N322" s="21" t="inlineStr"/>
      <c r="O322" s="21" t="inlineStr"/>
      <c r="P322" s="21" t="inlineStr"/>
      <c r="Q322" s="21" t="inlineStr"/>
      <c r="R322" s="40" t="n">
        <v>37000</v>
      </c>
      <c r="S322" s="21" t="inlineStr">
        <is>
          <t>BC 73</t>
        </is>
      </c>
      <c r="T322" s="21" t="inlineStr">
        <is>
          <t>While Militech focuses most of its manufacturing might on weapons technologies, it still produces ground vehicles such as the Gorgon. A van designed for security teams and mercs, the Gorgon is tough, with a chassis capab</t>
        </is>
      </c>
    </row>
    <row r="323">
      <c r="A323" s="21" t="inlineStr">
        <is>
          <t>Zacatzontli Pickup Truck</t>
        </is>
      </c>
      <c r="B323" s="21" t="inlineStr">
        <is>
          <t>Транспорт</t>
        </is>
      </c>
      <c r="C323" s="21" t="inlineStr"/>
      <c r="D323" s="21" t="inlineStr"/>
      <c r="E323" s="21" t="inlineStr"/>
      <c r="F323" s="31" t="n"/>
      <c r="G323" s="31" t="n"/>
      <c r="H323" s="31" t="n"/>
      <c r="I323" s="31" t="n"/>
      <c r="J323" s="31" t="n">
        <v>0</v>
      </c>
      <c r="K323" s="31" t="n">
        <v>0</v>
      </c>
      <c r="L323" s="31" t="n">
        <v>0</v>
      </c>
      <c r="M323" s="31" t="n">
        <v>0</v>
      </c>
      <c r="N323" s="21" t="inlineStr"/>
      <c r="O323" s="21" t="inlineStr"/>
      <c r="P323" s="21" t="inlineStr"/>
      <c r="Q323" s="21" t="inlineStr"/>
      <c r="R323" s="40" t="n">
        <v>27000</v>
      </c>
      <c r="S323" s="21" t="inlineStr">
        <is>
          <t>BC 74</t>
        </is>
      </c>
      <c r="T323" s="21" t="inlineStr">
        <is>
          <t>Ortiz Auto’s standout offering is the Zacatzontli. During the last few years the truck made its way into the North American market, though it has long been a best seller in Central America. The Zac’s chunky tires, reinfo</t>
        </is>
      </c>
    </row>
    <row r="324">
      <c r="A324" s="21" t="inlineStr">
        <is>
          <t>The Paladin 500</t>
        </is>
      </c>
      <c r="B324" s="21" t="inlineStr">
        <is>
          <t>Транспорт</t>
        </is>
      </c>
      <c r="C324" s="21" t="inlineStr"/>
      <c r="D324" s="21" t="inlineStr"/>
      <c r="E324" s="21" t="inlineStr"/>
      <c r="F324" s="31" t="n"/>
      <c r="G324" s="31" t="n"/>
      <c r="H324" s="31" t="n">
        <v>13</v>
      </c>
      <c r="I324" s="31" t="n"/>
      <c r="J324" s="31" t="n">
        <v>0</v>
      </c>
      <c r="K324" s="31" t="n">
        <v>0</v>
      </c>
      <c r="L324" s="31" t="n">
        <v>0</v>
      </c>
      <c r="M324" s="31" t="n">
        <v>0</v>
      </c>
      <c r="N324" s="21" t="inlineStr"/>
      <c r="O324" s="21" t="inlineStr"/>
      <c r="P324" s="21" t="inlineStr"/>
      <c r="Q324" s="21" t="inlineStr"/>
      <c r="R324" s="40" t="n">
        <v>59000</v>
      </c>
      <c r="S324" s="21" t="inlineStr">
        <is>
          <t>BC 75</t>
        </is>
      </c>
      <c r="T324" s="21" t="inlineStr">
        <is>
          <t>The Paladin 500 is Turbo Neon Motors’ premiere offering. Starting with old Max Interceptor frames bought wholesale, the garage’s engineers reworked the transmission and engine, polishing its performance to a mirrored she</t>
        </is>
      </c>
    </row>
    <row r="325">
      <c r="A325" s="21" t="inlineStr">
        <is>
          <t>Quadra Thunder-X</t>
        </is>
      </c>
      <c r="B325" s="21" t="inlineStr">
        <is>
          <t>Транспорт</t>
        </is>
      </c>
      <c r="C325" s="21" t="inlineStr"/>
      <c r="D325" s="21" t="inlineStr"/>
      <c r="E325" s="21" t="inlineStr"/>
      <c r="F325" s="31" t="n"/>
      <c r="G325" s="31" t="n"/>
      <c r="H325" s="31" t="n">
        <v>13</v>
      </c>
      <c r="I325" s="31" t="n">
        <v>15</v>
      </c>
      <c r="J325" s="31" t="n">
        <v>0</v>
      </c>
      <c r="K325" s="31" t="n">
        <v>0</v>
      </c>
      <c r="L325" s="31" t="n">
        <v>0</v>
      </c>
      <c r="M325" s="31" t="n">
        <v>0</v>
      </c>
      <c r="N325" s="21" t="inlineStr"/>
      <c r="O325" s="21" t="inlineStr"/>
      <c r="P325" s="21" t="inlineStr"/>
      <c r="Q325" s="21" t="inlineStr"/>
      <c r="R325" s="40" t="n">
        <v>57000</v>
      </c>
      <c r="S325" s="21" t="inlineStr">
        <is>
          <t>BC 76</t>
        </is>
      </c>
      <c r="T325" s="21" t="inlineStr">
        <is>
          <t>During a short-lived classic car renaissance at the start of the 4th Corporate War, Quadra released the Thunder-X, their modern homage to the vintage muscle cars of the mid-20th century. Wherever possible to do so invisi</t>
        </is>
      </c>
    </row>
    <row r="326">
      <c r="A326" s="21" t="inlineStr">
        <is>
          <t>Street King Combat Vehicle</t>
        </is>
      </c>
      <c r="B326" s="21" t="inlineStr">
        <is>
          <t>Транспорт</t>
        </is>
      </c>
      <c r="C326" s="21" t="inlineStr"/>
      <c r="D326" s="21" t="inlineStr"/>
      <c r="E326" s="21" t="inlineStr"/>
      <c r="F326" s="31" t="n"/>
      <c r="G326" s="31" t="n"/>
      <c r="H326" s="31" t="n">
        <v>13</v>
      </c>
      <c r="I326" s="31" t="n">
        <v>30</v>
      </c>
      <c r="J326" s="31" t="n">
        <v>0</v>
      </c>
      <c r="K326" s="31" t="n">
        <v>0</v>
      </c>
      <c r="L326" s="31" t="n">
        <v>0</v>
      </c>
      <c r="M326" s="31" t="n">
        <v>0</v>
      </c>
      <c r="N326" s="21" t="inlineStr"/>
      <c r="O326" s="21" t="inlineStr"/>
      <c r="P326" s="21" t="inlineStr"/>
      <c r="Q326" s="21" t="inlineStr"/>
      <c r="R326" s="40" t="n">
        <v>63000</v>
      </c>
      <c r="S326" s="21" t="inlineStr">
        <is>
          <t>BC 77</t>
        </is>
      </c>
      <c r="T326" s="21" t="inlineStr">
        <is>
          <t>Although less popular than the Paladin 500, the Street King is still an impressive beast of a vehicle. At its heart, the Street King is a reimagines the classic military transport that saw heavy use during the 4th Corpor</t>
        </is>
      </c>
    </row>
    <row r="327">
      <c r="A327" s="21" t="inlineStr">
        <is>
          <t>Tanson JetBoy Hoverboard</t>
        </is>
      </c>
      <c r="B327" s="21" t="inlineStr">
        <is>
          <t>Транспорт</t>
        </is>
      </c>
      <c r="C327" s="21" t="inlineStr"/>
      <c r="D327" s="21" t="inlineStr"/>
      <c r="E327" s="21" t="inlineStr"/>
      <c r="F327" s="31" t="n"/>
      <c r="G327" s="31" t="n"/>
      <c r="H327" s="31" t="n"/>
      <c r="I327" s="31" t="n"/>
      <c r="J327" s="31" t="n">
        <v>0</v>
      </c>
      <c r="K327" s="31" t="n">
        <v>0</v>
      </c>
      <c r="L327" s="31" t="n">
        <v>0</v>
      </c>
      <c r="M327" s="31" t="n">
        <v>0</v>
      </c>
      <c r="N327" s="21" t="inlineStr"/>
      <c r="O327" s="21" t="inlineStr"/>
      <c r="P327" s="21" t="inlineStr"/>
      <c r="Q327" s="21" t="inlineStr"/>
      <c r="R327" s="40" t="n">
        <v>1000</v>
      </c>
      <c r="S327" s="21" t="inlineStr">
        <is>
          <t>BC 78</t>
        </is>
      </c>
      <c r="T327" s="21" t="inlineStr">
        <is>
          <t>Nothing says speed and style like the JetBoy. First released a decade ago, the JetBoy quickly became popular among young gangers. Who needs an expensive motorcycle when a hoverboard is far cheaper and — frankly — cooler?</t>
        </is>
      </c>
    </row>
    <row r="328">
      <c r="A328" s="21" t="inlineStr">
        <is>
          <t>TetraCorp America MegaHauler</t>
        </is>
      </c>
      <c r="B328" s="21" t="inlineStr">
        <is>
          <t>Транспорт</t>
        </is>
      </c>
      <c r="C328" s="21" t="inlineStr"/>
      <c r="D328" s="21" t="inlineStr"/>
      <c r="E328" s="21" t="inlineStr"/>
      <c r="F328" s="31" t="n"/>
      <c r="G328" s="31" t="n"/>
      <c r="H328" s="31" t="n">
        <v>13</v>
      </c>
      <c r="I328" s="31" t="n">
        <v>30</v>
      </c>
      <c r="J328" s="31" t="n">
        <v>0</v>
      </c>
      <c r="K328" s="31" t="n">
        <v>0</v>
      </c>
      <c r="L328" s="31" t="n">
        <v>0</v>
      </c>
      <c r="M328" s="31" t="n">
        <v>0</v>
      </c>
      <c r="N328" s="21" t="inlineStr"/>
      <c r="O328" s="21" t="inlineStr"/>
      <c r="P328" s="21" t="inlineStr"/>
      <c r="Q328" s="21" t="inlineStr"/>
      <c r="R328" s="40" t="n">
        <v>143000</v>
      </c>
      <c r="S328" s="21" t="inlineStr">
        <is>
          <t>BC 79</t>
        </is>
      </c>
      <c r="T328" s="21" t="inlineStr">
        <is>
          <t>This monster cargo transport can be found on almost every major land route as the crown jewel in a well-protected caravan. The MegaHauler can manage up to three cargo containers at once using a detachable secondary engin</t>
        </is>
      </c>
    </row>
    <row r="329">
      <c r="A329" s="21" t="inlineStr">
        <is>
          <t>TetraCorp America Corporate Bus</t>
        </is>
      </c>
      <c r="B329" s="21" t="inlineStr">
        <is>
          <t>Транспорт</t>
        </is>
      </c>
      <c r="C329" s="21" t="inlineStr"/>
      <c r="D329" s="21" t="inlineStr"/>
      <c r="E329" s="21" t="inlineStr"/>
      <c r="F329" s="31" t="n"/>
      <c r="G329" s="31" t="n"/>
      <c r="H329" s="31" t="n">
        <v>13</v>
      </c>
      <c r="I329" s="31" t="n">
        <v>15</v>
      </c>
      <c r="J329" s="31" t="n">
        <v>0</v>
      </c>
      <c r="K329" s="31" t="n">
        <v>0</v>
      </c>
      <c r="L329" s="31" t="n">
        <v>0</v>
      </c>
      <c r="M329" s="31" t="n">
        <v>0</v>
      </c>
      <c r="N329" s="21" t="inlineStr"/>
      <c r="O329" s="21" t="inlineStr"/>
      <c r="P329" s="21" t="inlineStr"/>
      <c r="Q329" s="21" t="inlineStr"/>
      <c r="R329" s="40" t="n">
        <v>50000</v>
      </c>
      <c r="S329" s="21" t="inlineStr">
        <is>
          <t>BC 80</t>
        </is>
      </c>
      <c r="T329" s="21" t="inlineStr">
        <is>
          <t>The TetraCorp America Badger Corporate Bus is a high-end shuttle designed with the corporate world in mind. Constructed from durable polymers, the Badger is a secure vehicle perfect for protecting Corporate assets. The b</t>
        </is>
      </c>
    </row>
    <row r="330">
      <c r="A330" s="21" t="inlineStr">
        <is>
          <t>Yang’s Wheels Rickshaw</t>
        </is>
      </c>
      <c r="B330" s="21" t="inlineStr">
        <is>
          <t>Транспорт</t>
        </is>
      </c>
      <c r="C330" s="21" t="inlineStr"/>
      <c r="D330" s="21" t="inlineStr"/>
      <c r="E330" s="21" t="inlineStr"/>
      <c r="F330" s="31" t="n"/>
      <c r="G330" s="31" t="n"/>
      <c r="H330" s="31" t="n"/>
      <c r="I330" s="31" t="n"/>
      <c r="J330" s="31" t="n">
        <v>0</v>
      </c>
      <c r="K330" s="31" t="n">
        <v>0</v>
      </c>
      <c r="L330" s="31" t="n">
        <v>0</v>
      </c>
      <c r="M330" s="31" t="n">
        <v>0</v>
      </c>
      <c r="N330" s="21" t="inlineStr"/>
      <c r="O330" s="21" t="inlineStr"/>
      <c r="P330" s="21" t="inlineStr"/>
      <c r="Q330" s="21" t="inlineStr"/>
      <c r="R330" s="40" t="n">
        <v>21000</v>
      </c>
      <c r="S330" s="21" t="inlineStr">
        <is>
          <t>BC 81</t>
        </is>
      </c>
      <c r="T330" s="21" t="inlineStr">
        <is>
          <t>The Yang’s Wheels Rickshaw is the brainchild of Gabriel Yang, the reigning bicycle monarch out of Night City. After seeing a need in the market for cheap, fast, and agile hired transport, he purchased hundreds of wrecked</t>
        </is>
      </c>
    </row>
    <row r="331">
      <c r="A331" s="21" t="inlineStr">
        <is>
          <t>Zonda Molly 1K</t>
        </is>
      </c>
      <c r="B331" s="21" t="inlineStr">
        <is>
          <t>Транспорт</t>
        </is>
      </c>
      <c r="C331" s="21" t="inlineStr"/>
      <c r="D331" s="21" t="inlineStr"/>
      <c r="E331" s="21" t="inlineStr"/>
      <c r="F331" s="31" t="n"/>
      <c r="G331" s="31" t="n"/>
      <c r="H331" s="31" t="n"/>
      <c r="I331" s="31" t="n"/>
      <c r="J331" s="31" t="n">
        <v>0</v>
      </c>
      <c r="K331" s="31" t="n">
        <v>0</v>
      </c>
      <c r="L331" s="31" t="n">
        <v>0</v>
      </c>
      <c r="M331" s="31" t="n">
        <v>0</v>
      </c>
      <c r="N331" s="21" t="inlineStr"/>
      <c r="O331" s="21" t="inlineStr"/>
      <c r="P331" s="21" t="inlineStr"/>
      <c r="Q331" s="21" t="inlineStr"/>
      <c r="R331" s="40" t="n">
        <v>15000</v>
      </c>
      <c r="S331" s="21" t="inlineStr">
        <is>
          <t>BC 82</t>
        </is>
      </c>
      <c r="T331" s="21" t="inlineStr">
        <is>
          <t>Despite the recent release of the Zonda Molly 2K in Japan, the original 1K model remains the workhorse of the off-road market. Biotechnica uses Mollys to haul researchers through their Reference Forests. Petrochem uses M</t>
        </is>
      </c>
    </row>
    <row r="332">
      <c r="A332" s="21" t="inlineStr">
        <is>
          <t>Zonda Parallax CybercycleTM</t>
        </is>
      </c>
      <c r="B332" s="21" t="inlineStr">
        <is>
          <t>Транспорт</t>
        </is>
      </c>
      <c r="C332" s="21" t="inlineStr"/>
      <c r="D332" s="21" t="inlineStr"/>
      <c r="E332" s="21" t="inlineStr"/>
      <c r="F332" s="31" t="n"/>
      <c r="G332" s="31" t="n"/>
      <c r="H332" s="31" t="n">
        <v>13</v>
      </c>
      <c r="I332" s="31" t="n"/>
      <c r="J332" s="31" t="n">
        <v>0</v>
      </c>
      <c r="K332" s="31" t="n">
        <v>0</v>
      </c>
      <c r="L332" s="31" t="n">
        <v>0</v>
      </c>
      <c r="M332" s="31" t="n">
        <v>0</v>
      </c>
      <c r="N332" s="21" t="inlineStr"/>
      <c r="O332" s="21" t="inlineStr"/>
      <c r="P332" s="21" t="inlineStr"/>
      <c r="Q332" s="21" t="inlineStr"/>
      <c r="R332" s="40" t="n">
        <v>110000</v>
      </c>
      <c r="S332" s="21" t="inlineStr">
        <is>
          <t>BC 83</t>
        </is>
      </c>
      <c r="T332" s="21" t="inlineStr">
        <is>
          <t>The Zonda Parallax Cybercycle™ is the high-end evolution of motorcycle mania. Considered the bike for elite riders, the Parallax boasts fantastic speed and control, with durability surpassing standard models. Thanks to i</t>
        </is>
      </c>
    </row>
    <row r="333">
      <c r="A333" s="21" t="inlineStr">
        <is>
          <t>Zonda Sliver</t>
        </is>
      </c>
      <c r="B333" s="21" t="inlineStr">
        <is>
          <t>Транспорт</t>
        </is>
      </c>
      <c r="C333" s="21" t="inlineStr"/>
      <c r="D333" s="21" t="inlineStr"/>
      <c r="E333" s="21" t="inlineStr"/>
      <c r="F333" s="31" t="n"/>
      <c r="G333" s="31" t="n"/>
      <c r="H333" s="31" t="n"/>
      <c r="I333" s="31" t="n">
        <v>15</v>
      </c>
      <c r="J333" s="31" t="n">
        <v>0</v>
      </c>
      <c r="K333" s="31" t="n">
        <v>0</v>
      </c>
      <c r="L333" s="31" t="n">
        <v>0</v>
      </c>
      <c r="M333" s="31" t="n">
        <v>0</v>
      </c>
      <c r="N333" s="21" t="inlineStr"/>
      <c r="O333" s="21" t="inlineStr"/>
      <c r="P333" s="21" t="inlineStr"/>
      <c r="Q333" s="21" t="inlineStr"/>
      <c r="R333" s="40" t="n">
        <v>27000</v>
      </c>
      <c r="S333" s="21" t="inlineStr">
        <is>
          <t>BC 84</t>
        </is>
      </c>
      <c r="T333" s="21" t="inlineStr">
        <is>
          <t>The Sliver by Zonda comes loaded with gadgets and these extra bells and whistles make it worth every Eurobuck. The most beloved feature of the bike is the holographic display on the windshield, a touchscreen collecting e</t>
        </is>
      </c>
    </row>
    <row r="334">
      <c r="A334" s="21" t="inlineStr">
        <is>
          <t>Sawtooth</t>
        </is>
      </c>
      <c r="B334" s="21" t="inlineStr">
        <is>
          <t>Транспорт</t>
        </is>
      </c>
      <c r="C334" s="21" t="inlineStr"/>
      <c r="D334" s="21" t="inlineStr"/>
      <c r="E334" s="21" t="inlineStr"/>
      <c r="F334" s="31" t="n"/>
      <c r="G334" s="31" t="n"/>
      <c r="H334" s="31" t="n">
        <v>13</v>
      </c>
      <c r="I334" s="31" t="n">
        <v>15</v>
      </c>
      <c r="J334" s="31" t="n">
        <v>0</v>
      </c>
      <c r="K334" s="31" t="n">
        <v>0</v>
      </c>
      <c r="L334" s="31" t="n">
        <v>0</v>
      </c>
      <c r="M334" s="31" t="n">
        <v>0</v>
      </c>
      <c r="N334" s="21" t="inlineStr"/>
      <c r="O334" s="21" t="inlineStr"/>
      <c r="P334" s="21" t="inlineStr"/>
      <c r="Q334" s="21" t="inlineStr"/>
      <c r="R334" s="40" t="n">
        <v>113000</v>
      </c>
      <c r="S334" s="21" t="inlineStr">
        <is>
          <t>CPCW 1</t>
        </is>
      </c>
      <c r="T334" s="21" t="inlineStr">
        <is>
          <t>The Sawtooth is fast, brutal, and crewed by absolute maniacs. Built on the frame of a small luxury coupe, it’s exceptionally nimble. An unpredictable close-quarters nightmare, the Sawtooth rams into other cars and jaws w</t>
        </is>
      </c>
    </row>
    <row r="335">
      <c r="A335" s="21" t="inlineStr">
        <is>
          <t>SovOil Mi-60</t>
        </is>
      </c>
      <c r="B335" s="21" t="inlineStr">
        <is>
          <t>Транспорт</t>
        </is>
      </c>
      <c r="C335" s="21" t="inlineStr"/>
      <c r="D335" s="21" t="inlineStr"/>
      <c r="E335" s="21" t="inlineStr"/>
      <c r="F335" s="31" t="n"/>
      <c r="G335" s="31" t="n"/>
      <c r="H335" s="31" t="n">
        <v>13</v>
      </c>
      <c r="I335" s="31" t="n">
        <v>15</v>
      </c>
      <c r="J335" s="31" t="n">
        <v>0</v>
      </c>
      <c r="K335" s="31" t="n">
        <v>0</v>
      </c>
      <c r="L335" s="31" t="n">
        <v>0</v>
      </c>
      <c r="M335" s="31" t="n">
        <v>0</v>
      </c>
      <c r="N335" s="21" t="inlineStr"/>
      <c r="O335" s="21" t="inlineStr"/>
      <c r="P335" s="21" t="inlineStr"/>
      <c r="Q335" s="21" t="inlineStr"/>
      <c r="R335" s="40" t="n">
        <v>65000</v>
      </c>
      <c r="S335" s="21" t="inlineStr">
        <is>
          <t>DGD 120</t>
        </is>
      </c>
      <c r="T335" s="21" t="inlineStr">
        <is>
          <t>SovOil Mi-60 is an AV-4 Multipurpose Aerodyne with an Armored Chassis, Bulletproof Glass, a Heavy Chassis, NOS, an Onboard Machine Gun, an Onboard Rocket Pod, and a Seating Upgrade.</t>
        </is>
      </c>
    </row>
    <row r="336">
      <c r="A336" s="21" t="inlineStr">
        <is>
          <t>Zonda Metrocar</t>
        </is>
      </c>
      <c r="B336" s="21" t="inlineStr">
        <is>
          <t>Транспорт</t>
        </is>
      </c>
      <c r="C336" s="21" t="inlineStr"/>
      <c r="D336" s="21" t="inlineStr"/>
      <c r="E336" s="21" t="inlineStr"/>
      <c r="F336" s="31" t="n"/>
      <c r="G336" s="31" t="n"/>
      <c r="H336" s="31" t="n"/>
      <c r="I336" s="31" t="n"/>
      <c r="J336" s="31" t="n">
        <v>0</v>
      </c>
      <c r="K336" s="31" t="n">
        <v>0</v>
      </c>
      <c r="L336" s="31" t="n">
        <v>0</v>
      </c>
      <c r="M336" s="31" t="n">
        <v>0</v>
      </c>
      <c r="N336" s="21" t="inlineStr"/>
      <c r="O336" s="21" t="inlineStr"/>
      <c r="P336" s="21" t="inlineStr"/>
      <c r="Q336" s="21" t="inlineStr"/>
      <c r="R336" s="40" t="n">
        <v>1000</v>
      </c>
      <c r="S336" s="21" t="inlineStr">
        <is>
          <t>DL:12Gear 4 · IR4 68</t>
        </is>
      </c>
      <c r="T336" s="21" t="inlineStr">
        <is>
          <t>The classic city car of the 2020s is back! Local manufacturer Yang’s Wheels, under license from Zonda, has removed the pedals and added a motor, transforming its enclosed bicycle platform into the most affordable car ava</t>
        </is>
      </c>
    </row>
    <row r="337">
      <c r="A337" s="21" t="inlineStr">
        <is>
          <t>AmeriCar Armadillo</t>
        </is>
      </c>
      <c r="B337" s="21" t="inlineStr">
        <is>
          <t>Транспорт</t>
        </is>
      </c>
      <c r="C337" s="21" t="inlineStr"/>
      <c r="D337" s="21" t="inlineStr"/>
      <c r="E337" s="21" t="inlineStr"/>
      <c r="F337" s="31" t="n"/>
      <c r="G337" s="31" t="n"/>
      <c r="H337" s="31" t="n">
        <v>13</v>
      </c>
      <c r="I337" s="31" t="n">
        <v>30</v>
      </c>
      <c r="J337" s="31" t="n">
        <v>0</v>
      </c>
      <c r="K337" s="31" t="n">
        <v>0</v>
      </c>
      <c r="L337" s="31" t="n">
        <v>0</v>
      </c>
      <c r="M337" s="31" t="n">
        <v>0</v>
      </c>
      <c r="N337" s="21" t="inlineStr"/>
      <c r="O337" s="21" t="inlineStr"/>
      <c r="P337" s="21" t="inlineStr"/>
      <c r="Q337" s="21" t="inlineStr"/>
      <c r="R337" s="40" t="n">
        <v>41000</v>
      </c>
      <c r="S337" s="21" t="inlineStr">
        <is>
          <t>DL:12V 3</t>
        </is>
      </c>
      <c r="T337" s="21" t="inlineStr">
        <is>
          <t xml:space="preserve">The Armadillo is the safest, strongest RV ever produced, and AmeriCar knows it! That’s why the automotive neocorp didn’t change a thing when it resurrected the popular caravan and offered it for sale to a new generation </t>
        </is>
      </c>
    </row>
    <row r="338">
      <c r="A338" s="21" t="inlineStr">
        <is>
          <t>NAM Ambanaught m2</t>
        </is>
      </c>
      <c r="B338" s="21" t="inlineStr">
        <is>
          <t>Транспорт</t>
        </is>
      </c>
      <c r="C338" s="21" t="inlineStr"/>
      <c r="D338" s="21" t="inlineStr"/>
      <c r="E338" s="21" t="inlineStr"/>
      <c r="F338" s="31" t="n"/>
      <c r="G338" s="31" t="n"/>
      <c r="H338" s="31" t="n">
        <v>13</v>
      </c>
      <c r="I338" s="31" t="n">
        <v>15</v>
      </c>
      <c r="J338" s="31" t="n">
        <v>0</v>
      </c>
      <c r="K338" s="31" t="n">
        <v>0</v>
      </c>
      <c r="L338" s="31" t="n">
        <v>0</v>
      </c>
      <c r="M338" s="31" t="n">
        <v>0</v>
      </c>
      <c r="N338" s="21" t="inlineStr"/>
      <c r="O338" s="21" t="inlineStr"/>
      <c r="P338" s="21" t="inlineStr"/>
      <c r="Q338" s="21" t="inlineStr"/>
      <c r="R338" s="40" t="n">
        <v>56000</v>
      </c>
      <c r="S338" s="21" t="inlineStr">
        <is>
          <t>DL:12V 4</t>
        </is>
      </c>
      <c r="T338" s="21" t="inlineStr">
        <is>
          <t>New American Motors may be dead, but its Ambunaughts still roam the streets of Night City. These decades old medical juggernauts, held together by duct tape and creative mechanical repair tricks, form the backbone of eme</t>
        </is>
      </c>
    </row>
    <row r="339">
      <c r="A339" s="21" t="inlineStr">
        <is>
          <t>TetraCorp America Luxus 15</t>
        </is>
      </c>
      <c r="B339" s="21" t="inlineStr">
        <is>
          <t>Транспорт</t>
        </is>
      </c>
      <c r="C339" s="21" t="inlineStr"/>
      <c r="D339" s="21" t="inlineStr"/>
      <c r="E339" s="21" t="inlineStr"/>
      <c r="F339" s="31" t="n"/>
      <c r="G339" s="31" t="n"/>
      <c r="H339" s="31" t="n">
        <v>13</v>
      </c>
      <c r="I339" s="31" t="n">
        <v>30</v>
      </c>
      <c r="J339" s="31" t="n">
        <v>0</v>
      </c>
      <c r="K339" s="31" t="n">
        <v>0</v>
      </c>
      <c r="L339" s="31" t="n">
        <v>0</v>
      </c>
      <c r="M339" s="31" t="n">
        <v>0</v>
      </c>
      <c r="N339" s="21" t="inlineStr"/>
      <c r="O339" s="21" t="inlineStr"/>
      <c r="P339" s="21" t="inlineStr"/>
      <c r="Q339" s="21" t="inlineStr"/>
      <c r="R339" s="40" t="n">
        <v>45000</v>
      </c>
      <c r="S339" s="21" t="inlineStr">
        <is>
          <t>DL:12V 5</t>
        </is>
      </c>
      <c r="T339" s="21" t="inlineStr">
        <is>
          <t>The latest in corporate luxury, the TetraCorp America Luxus 15 drives the classic stretched limo into the modern day! Travel in confidence, knowing the armored, sealed cab will protect you from both firearms and gas atta</t>
        </is>
      </c>
    </row>
    <row r="340">
      <c r="A340" s="21" t="inlineStr">
        <is>
          <t>Zonda R400 Trail</t>
        </is>
      </c>
      <c r="B340" s="21" t="inlineStr">
        <is>
          <t>Транспорт</t>
        </is>
      </c>
      <c r="C340" s="21" t="inlineStr"/>
      <c r="D340" s="21" t="inlineStr"/>
      <c r="E340" s="21" t="inlineStr"/>
      <c r="F340" s="31" t="n"/>
      <c r="G340" s="31" t="n"/>
      <c r="H340" s="31" t="n"/>
      <c r="I340" s="31" t="n"/>
      <c r="J340" s="31" t="n">
        <v>0</v>
      </c>
      <c r="K340" s="31" t="n">
        <v>0</v>
      </c>
      <c r="L340" s="31" t="n">
        <v>0</v>
      </c>
      <c r="M340" s="31" t="n">
        <v>0</v>
      </c>
      <c r="N340" s="21" t="inlineStr"/>
      <c r="O340" s="21" t="inlineStr"/>
      <c r="P340" s="21" t="inlineStr"/>
      <c r="Q340" s="21" t="inlineStr"/>
      <c r="R340" s="40" t="n">
        <v>850</v>
      </c>
      <c r="S340" s="21" t="inlineStr">
        <is>
          <t>DL:12V 6</t>
        </is>
      </c>
      <c r="T340" s="21" t="inlineStr">
        <is>
          <t xml:space="preserve">The most basic of motorcycles, the Zonda R400 Trail is the perfect entrylevel vehicle for urban commuters seeking to escape the tyranny of public transportation. Rumor has it that nomad clans keep a small fleet of R400s </t>
        </is>
      </c>
    </row>
    <row r="341">
      <c r="A341" s="21" t="inlineStr">
        <is>
          <t>Dayton M405 AdZep</t>
        </is>
      </c>
      <c r="B341" s="21" t="inlineStr">
        <is>
          <t>Транспорт</t>
        </is>
      </c>
      <c r="C341" s="21" t="inlineStr"/>
      <c r="D341" s="21" t="inlineStr"/>
      <c r="E341" s="21" t="inlineStr"/>
      <c r="F341" s="31" t="n"/>
      <c r="G341" s="31" t="n"/>
      <c r="H341" s="31" t="n"/>
      <c r="I341" s="31" t="n"/>
      <c r="J341" s="31" t="n">
        <v>0</v>
      </c>
      <c r="K341" s="31" t="n">
        <v>0</v>
      </c>
      <c r="L341" s="31" t="n">
        <v>0</v>
      </c>
      <c r="M341" s="31" t="n">
        <v>0</v>
      </c>
      <c r="N341" s="21" t="inlineStr"/>
      <c r="O341" s="21" t="inlineStr"/>
      <c r="P341" s="21" t="inlineStr"/>
      <c r="Q341" s="21" t="inlineStr"/>
      <c r="R341" s="40" t="n">
        <v>26000</v>
      </c>
      <c r="S341" s="21" t="inlineStr">
        <is>
          <t>DL:12V 7</t>
        </is>
      </c>
      <c r="T341" s="21" t="inlineStr">
        <is>
          <t>The future of advertising is mobile! A flying billboard, the Dayton M405 AdZep lights up the skies with bright, high-resolution video screens, perfect for attracting attention at any time of day. Nothing reaches more vie</t>
        </is>
      </c>
    </row>
    <row r="342">
      <c r="A342" s="21" t="inlineStr">
        <is>
          <t>Dayton Sky Queen</t>
        </is>
      </c>
      <c r="B342" s="21" t="inlineStr">
        <is>
          <t>Транспорт</t>
        </is>
      </c>
      <c r="C342" s="21" t="inlineStr"/>
      <c r="D342" s="21" t="inlineStr"/>
      <c r="E342" s="21" t="inlineStr"/>
      <c r="F342" s="31" t="n"/>
      <c r="G342" s="31" t="n"/>
      <c r="H342" s="31" t="n">
        <v>13</v>
      </c>
      <c r="I342" s="31" t="n">
        <v>30</v>
      </c>
      <c r="J342" s="31" t="n">
        <v>0</v>
      </c>
      <c r="K342" s="31" t="n">
        <v>0</v>
      </c>
      <c r="L342" s="31" t="n">
        <v>0</v>
      </c>
      <c r="M342" s="31" t="n">
        <v>0</v>
      </c>
      <c r="N342" s="21" t="inlineStr"/>
      <c r="O342" s="21" t="inlineStr"/>
      <c r="P342" s="21" t="inlineStr"/>
      <c r="Q342" s="21" t="inlineStr"/>
      <c r="R342" s="40" t="n">
        <v>4961000</v>
      </c>
      <c r="S342" s="21" t="inlineStr">
        <is>
          <t>DL:12V 8</t>
        </is>
      </c>
      <c r="T342" s="21" t="inlineStr">
        <is>
          <t>The regal ruler of the North American skies! Comfort, safety, and convenience combine to offer the finest in transcontinental transport. The Sky Queen is simply the greatest way to travel from city to city – high above t</t>
        </is>
      </c>
    </row>
    <row r="343">
      <c r="A343" s="21" t="inlineStr">
        <is>
          <t>Militech F-152 Autocopter</t>
        </is>
      </c>
      <c r="B343" s="21" t="inlineStr">
        <is>
          <t>Транспорт</t>
        </is>
      </c>
      <c r="C343" s="21" t="inlineStr"/>
      <c r="D343" s="21" t="inlineStr"/>
      <c r="E343" s="21" t="inlineStr"/>
      <c r="F343" s="31" t="n"/>
      <c r="G343" s="31" t="n"/>
      <c r="H343" s="31" t="n"/>
      <c r="I343" s="31" t="n"/>
      <c r="J343" s="31" t="n">
        <v>0</v>
      </c>
      <c r="K343" s="31" t="n">
        <v>0</v>
      </c>
      <c r="L343" s="31" t="n">
        <v>0</v>
      </c>
      <c r="M343" s="31" t="n">
        <v>0</v>
      </c>
      <c r="N343" s="21" t="inlineStr"/>
      <c r="O343" s="21" t="inlineStr"/>
      <c r="P343" s="21" t="inlineStr"/>
      <c r="Q343" s="21" t="inlineStr"/>
      <c r="R343" s="40" t="n">
        <v>31000</v>
      </c>
      <c r="S343" s="21" t="inlineStr">
        <is>
          <t>DL:12V 10</t>
        </is>
      </c>
      <c r="T343" s="21" t="inlineStr">
        <is>
          <t>The ultimate in small aerial combat vehicles, the Militech F-152 is used extensively by police forces and mercenaries. Its lack of protection for the pilot is not a point of complaint among some, but no one can argue wit</t>
        </is>
      </c>
    </row>
    <row r="344">
      <c r="A344" s="21" t="inlineStr">
        <is>
          <t>VMW Aerojeep</t>
        </is>
      </c>
      <c r="B344" s="21" t="inlineStr">
        <is>
          <t>Транспорт</t>
        </is>
      </c>
      <c r="C344" s="21" t="inlineStr"/>
      <c r="D344" s="21" t="inlineStr"/>
      <c r="E344" s="21" t="inlineStr"/>
      <c r="F344" s="31" t="n"/>
      <c r="G344" s="31" t="n"/>
      <c r="H344" s="31" t="n"/>
      <c r="I344" s="31" t="n"/>
      <c r="J344" s="31" t="n">
        <v>0</v>
      </c>
      <c r="K344" s="31" t="n">
        <v>0</v>
      </c>
      <c r="L344" s="31" t="n">
        <v>0</v>
      </c>
      <c r="M344" s="31" t="n">
        <v>0</v>
      </c>
      <c r="N344" s="21" t="inlineStr"/>
      <c r="O344" s="21" t="inlineStr"/>
      <c r="P344" s="21" t="inlineStr"/>
      <c r="Q344" s="21" t="inlineStr"/>
      <c r="R344" s="40" t="n">
        <v>44000</v>
      </c>
      <c r="S344" s="21" t="inlineStr">
        <is>
          <t>DL:12V 11</t>
        </is>
      </c>
      <c r="T344" s="21" t="inlineStr">
        <is>
          <t>A classic workhorse of European militaries, the VMW Aerojeep is slow but reliable, ugly but highly functional. Like the utility vehicles of World War II, the Aerojeep has a reputation for both durability and versatility.</t>
        </is>
      </c>
    </row>
    <row r="345">
      <c r="A345" s="21" t="inlineStr">
        <is>
          <t>Hydrosubsidium Bimac</t>
        </is>
      </c>
      <c r="B345" s="21" t="inlineStr">
        <is>
          <t>Транспорт</t>
        </is>
      </c>
      <c r="C345" s="21" t="inlineStr"/>
      <c r="D345" s="21" t="inlineStr"/>
      <c r="E345" s="21" t="inlineStr"/>
      <c r="F345" s="31" t="n"/>
      <c r="G345" s="31" t="n"/>
      <c r="H345" s="31" t="n"/>
      <c r="I345" s="31" t="n"/>
      <c r="J345" s="31" t="n">
        <v>0</v>
      </c>
      <c r="K345" s="31" t="n">
        <v>0</v>
      </c>
      <c r="L345" s="31" t="n">
        <v>0</v>
      </c>
      <c r="M345" s="31" t="n">
        <v>0</v>
      </c>
      <c r="N345" s="21" t="inlineStr"/>
      <c r="O345" s="21" t="inlineStr"/>
      <c r="P345" s="21" t="inlineStr"/>
      <c r="Q345" s="21" t="inlineStr"/>
      <c r="R345" s="40" t="n">
        <v>32000</v>
      </c>
      <c r="S345" s="21" t="inlineStr">
        <is>
          <t>DL:12V 12</t>
        </is>
      </c>
      <c r="T345" s="21" t="inlineStr">
        <is>
          <t>A tandem-seat, magnetic propulsion hydro-ski upgraded for wartime use. The Bimac was specifically designed for covert operations. The unique Enhanced Interface Plug Integration and NOS allows the pilot to maneuver past p</t>
        </is>
      </c>
    </row>
    <row r="346">
      <c r="A346" s="21" t="inlineStr">
        <is>
          <t>HD Ullapool Raider</t>
        </is>
      </c>
      <c r="B346" s="21" t="inlineStr">
        <is>
          <t>Транспорт</t>
        </is>
      </c>
      <c r="C346" s="21" t="inlineStr"/>
      <c r="D346" s="21" t="inlineStr"/>
      <c r="E346" s="21" t="inlineStr"/>
      <c r="F346" s="31" t="n"/>
      <c r="G346" s="31" t="n"/>
      <c r="H346" s="31" t="n">
        <v>13</v>
      </c>
      <c r="I346" s="31" t="n"/>
      <c r="J346" s="31" t="n">
        <v>0</v>
      </c>
      <c r="K346" s="31" t="n">
        <v>0</v>
      </c>
      <c r="L346" s="31" t="n">
        <v>0</v>
      </c>
      <c r="M346" s="31" t="n">
        <v>0</v>
      </c>
      <c r="N346" s="21" t="inlineStr"/>
      <c r="O346" s="21" t="inlineStr"/>
      <c r="P346" s="21" t="inlineStr"/>
      <c r="Q346" s="21" t="inlineStr"/>
      <c r="R346" s="40" t="n">
        <v>32000</v>
      </c>
      <c r="S346" s="21" t="inlineStr">
        <is>
          <t>DL:12V 13</t>
        </is>
      </c>
      <c r="T346" s="21" t="inlineStr">
        <is>
          <t xml:space="preserve">Light and fast, the Ullapool Raider is perfect for close shore and river operations. The design was inspired by pirate vessels commonly found raiding along Scottish rivers in the 2020s, but now serves on the side of the </t>
        </is>
      </c>
    </row>
    <row r="347">
      <c r="A347" s="21" t="inlineStr">
        <is>
          <t>Thelas Tríaina Patrol Boat</t>
        </is>
      </c>
      <c r="B347" s="21" t="inlineStr">
        <is>
          <t>Транспорт</t>
        </is>
      </c>
      <c r="C347" s="21" t="inlineStr"/>
      <c r="D347" s="21" t="inlineStr"/>
      <c r="E347" s="21" t="inlineStr"/>
      <c r="F347" s="31" t="n"/>
      <c r="G347" s="31" t="n"/>
      <c r="H347" s="31" t="n">
        <v>13</v>
      </c>
      <c r="I347" s="31" t="n">
        <v>15</v>
      </c>
      <c r="J347" s="31" t="n">
        <v>0</v>
      </c>
      <c r="K347" s="31" t="n">
        <v>0</v>
      </c>
      <c r="L347" s="31" t="n">
        <v>0</v>
      </c>
      <c r="M347" s="31" t="n">
        <v>0</v>
      </c>
      <c r="N347" s="21" t="inlineStr"/>
      <c r="O347" s="21" t="inlineStr"/>
      <c r="P347" s="21" t="inlineStr"/>
      <c r="Q347" s="21" t="inlineStr"/>
      <c r="R347" s="40" t="n">
        <v>42000</v>
      </c>
      <c r="S347" s="21" t="inlineStr">
        <is>
          <t>DL:12V 14</t>
        </is>
      </c>
      <c r="T347" s="21" t="inlineStr">
        <is>
          <t>An update of the classic Pibber, the Tríaina is used by Thelas Marines when on harbor patrol in Night City. The boat is amazingly buoyant and will stay afloat even when punctured, while armored and environmentally sealed</t>
        </is>
      </c>
    </row>
    <row r="348">
      <c r="A348" s="21" t="inlineStr">
        <is>
          <t>Zetatech Moray</t>
        </is>
      </c>
      <c r="B348" s="21" t="inlineStr">
        <is>
          <t>Транспорт</t>
        </is>
      </c>
      <c r="C348" s="21" t="inlineStr"/>
      <c r="D348" s="21" t="inlineStr"/>
      <c r="E348" s="21" t="inlineStr"/>
      <c r="F348" s="31" t="n"/>
      <c r="G348" s="31" t="n"/>
      <c r="H348" s="31" t="n"/>
      <c r="I348" s="31" t="n"/>
      <c r="J348" s="31" t="n">
        <v>0</v>
      </c>
      <c r="K348" s="31" t="n">
        <v>0</v>
      </c>
      <c r="L348" s="31" t="n">
        <v>0</v>
      </c>
      <c r="M348" s="31" t="n">
        <v>0</v>
      </c>
      <c r="N348" s="21" t="inlineStr"/>
      <c r="O348" s="21" t="inlineStr"/>
      <c r="P348" s="21" t="inlineStr"/>
      <c r="Q348" s="21" t="inlineStr"/>
      <c r="R348" s="40" t="n">
        <v>42000</v>
      </c>
      <c r="S348" s="21" t="inlineStr">
        <is>
          <t>DL:12V 15</t>
        </is>
      </c>
      <c r="T348" s="21" t="inlineStr">
        <is>
          <t>A modern take on the classic fightersub, the Moray is the perfect vehicle for underwater exploration and missions – so long as the mission doesn’t require diving more than 300 m/yds below the surface. The Moray comes sta</t>
        </is>
      </c>
    </row>
    <row r="349">
      <c r="A349" s="21" t="inlineStr">
        <is>
          <t>Roller Derby Skates</t>
        </is>
      </c>
      <c r="B349" s="21" t="inlineStr">
        <is>
          <t>Транспорт</t>
        </is>
      </c>
      <c r="C349" s="21" t="inlineStr"/>
      <c r="D349" s="21" t="inlineStr"/>
      <c r="E349" s="21" t="inlineStr"/>
      <c r="F349" s="31" t="n"/>
      <c r="G349" s="31" t="n"/>
      <c r="H349" s="31" t="n"/>
      <c r="I349" s="31" t="n"/>
      <c r="J349" s="31" t="n">
        <v>0</v>
      </c>
      <c r="K349" s="31" t="n">
        <v>0</v>
      </c>
      <c r="L349" s="31" t="n">
        <v>0</v>
      </c>
      <c r="M349" s="31" t="n">
        <v>0</v>
      </c>
      <c r="N349" s="21" t="inlineStr"/>
      <c r="O349" s="21" t="inlineStr"/>
      <c r="P349" s="21" t="inlineStr"/>
      <c r="Q349" s="21" t="inlineStr"/>
      <c r="R349" s="40" t="n">
        <v>50</v>
      </c>
      <c r="S349" s="21" t="inlineStr">
        <is>
          <t>DL:CtR 9 · T:Hope 186 · IR5 21</t>
        </is>
      </c>
      <c r="T349" s="21" t="inlineStr"/>
    </row>
    <row r="350">
      <c r="A350" s="21" t="inlineStr">
        <is>
          <t>Bicycle</t>
        </is>
      </c>
      <c r="B350" s="21" t="inlineStr">
        <is>
          <t>Транспорт</t>
        </is>
      </c>
      <c r="C350" s="21" t="inlineStr"/>
      <c r="D350" s="21" t="inlineStr"/>
      <c r="E350" s="21" t="inlineStr"/>
      <c r="F350" s="31" t="n"/>
      <c r="G350" s="31" t="n"/>
      <c r="H350" s="31" t="n"/>
      <c r="I350" s="31" t="n"/>
      <c r="J350" s="31" t="n">
        <v>0</v>
      </c>
      <c r="K350" s="31" t="n">
        <v>0</v>
      </c>
      <c r="L350" s="31" t="n">
        <v>0</v>
      </c>
      <c r="M350" s="31" t="n">
        <v>0</v>
      </c>
      <c r="N350" s="21" t="inlineStr"/>
      <c r="O350" s="21" t="inlineStr"/>
      <c r="P350" s="21" t="inlineStr"/>
      <c r="Q350" s="21" t="inlineStr"/>
      <c r="R350" s="40" t="n">
        <v>100</v>
      </c>
      <c r="S350" s="21" t="inlineStr">
        <is>
          <t>DL:Wheels 3 · DGD 146 · IR3 77</t>
        </is>
      </c>
      <c r="T350" s="21" t="inlineStr">
        <is>
          <t xml:space="preserve">Bicycles are vehicles and generally follow the same rules as other vehicles in Cyberpunk RED (see CP:R page 191). Some differences exist, however, due to their unique form of locomotion. • Bicycles have SDP 15, a single </t>
        </is>
      </c>
    </row>
    <row r="351">
      <c r="A351" s="21" t="inlineStr">
        <is>
          <t>Inline Skates</t>
        </is>
      </c>
      <c r="B351" s="21" t="inlineStr">
        <is>
          <t>Транспорт</t>
        </is>
      </c>
      <c r="C351" s="21" t="inlineStr"/>
      <c r="D351" s="21" t="inlineStr"/>
      <c r="E351" s="21" t="inlineStr"/>
      <c r="F351" s="31" t="n"/>
      <c r="G351" s="31" t="n"/>
      <c r="H351" s="31" t="n"/>
      <c r="I351" s="31" t="n"/>
      <c r="J351" s="31" t="n">
        <v>0</v>
      </c>
      <c r="K351" s="31" t="n">
        <v>0</v>
      </c>
      <c r="L351" s="31" t="n">
        <v>0</v>
      </c>
      <c r="M351" s="31" t="n">
        <v>0</v>
      </c>
      <c r="N351" s="21" t="inlineStr"/>
      <c r="O351" s="21" t="inlineStr"/>
      <c r="P351" s="21" t="inlineStr"/>
      <c r="Q351" s="21" t="inlineStr"/>
      <c r="R351" s="40" t="n">
        <v>50</v>
      </c>
      <c r="S351" s="21" t="inlineStr">
        <is>
          <t>DL:Wheels 5 · DGD 147 · IR3 79</t>
        </is>
      </c>
      <c r="T351" s="21" t="inlineStr">
        <is>
          <t>A pair of roller skates with four wheels arranged in a single line. Inline Skates increase movement by 4 m/yds when using the Run Action. Pulling the skates on or taking them off requires an Action. Any options stored in</t>
        </is>
      </c>
    </row>
    <row r="352">
      <c r="A352" s="21" t="inlineStr">
        <is>
          <t>Skateboard</t>
        </is>
      </c>
      <c r="B352" s="21" t="inlineStr">
        <is>
          <t>Транспорт</t>
        </is>
      </c>
      <c r="C352" s="21" t="inlineStr"/>
      <c r="D352" s="21" t="inlineStr"/>
      <c r="E352" s="21" t="inlineStr"/>
      <c r="F352" s="31" t="n"/>
      <c r="G352" s="31" t="n"/>
      <c r="H352" s="31" t="n"/>
      <c r="I352" s="31" t="n"/>
      <c r="J352" s="31" t="n">
        <v>0</v>
      </c>
      <c r="K352" s="31" t="n">
        <v>0</v>
      </c>
      <c r="L352" s="31" t="n">
        <v>0</v>
      </c>
      <c r="M352" s="31" t="n">
        <v>0</v>
      </c>
      <c r="N352" s="21" t="inlineStr"/>
      <c r="O352" s="21" t="inlineStr"/>
      <c r="P352" s="21" t="inlineStr"/>
      <c r="Q352" s="21" t="inlineStr"/>
      <c r="R352" s="40" t="n">
        <v>50</v>
      </c>
      <c r="S352" s="21" t="inlineStr">
        <is>
          <t>DLC:Wheels 5 · IR3 79</t>
        </is>
      </c>
      <c r="T352" s="21" t="inlineStr">
        <is>
          <t xml:space="preserve">A deck, two trucks, and four wheels. A staple of extreme sports enthusiasts the world over. In addition to allowing the rider to perform sick tricks, skateboards increase movement by 4 m/yds when using the Run Action so </t>
        </is>
      </c>
    </row>
    <row r="353">
      <c r="A353" s="21" t="inlineStr">
        <is>
          <t>Agent (Standard)</t>
        </is>
      </c>
      <c r="B353" s="21" t="inlineStr">
        <is>
          <t>Снаряжение</t>
        </is>
      </c>
      <c r="C353" s="21" t="inlineStr">
        <is>
          <t>Agent</t>
        </is>
      </c>
      <c r="D353" s="21" t="inlineStr"/>
      <c r="E353" s="21" t="inlineStr"/>
      <c r="F353" s="31" t="n"/>
      <c r="G353" s="31" t="n"/>
      <c r="H353" s="31" t="n"/>
      <c r="I353" s="31" t="n"/>
      <c r="J353" s="31" t="n">
        <v>0</v>
      </c>
      <c r="K353" s="31" t="n">
        <v>0</v>
      </c>
      <c r="L353" s="31" t="n">
        <v>0</v>
      </c>
      <c r="M353" s="31" t="n">
        <v>0</v>
      </c>
      <c r="N353" s="21" t="inlineStr"/>
      <c r="O353" s="21" t="inlineStr"/>
      <c r="P353" s="21" t="inlineStr"/>
      <c r="Q353" s="21" t="inlineStr"/>
      <c r="R353" s="40" t="n">
        <v>100</v>
      </c>
      <c r="S353" s="21" t="inlineStr">
        <is>
          <t>CP:R 352</t>
        </is>
      </c>
      <c r="T353" s="21" t="inlineStr">
        <is>
          <t>Self-adaptive-AI powered smartphone; that "learns" how best to fit your needs simply by interacting with you. While not a true AI, it is more than capable of replacing any need for a secretary. When you sit back and allo</t>
        </is>
      </c>
    </row>
    <row r="354">
      <c r="A354" s="21" t="inlineStr">
        <is>
          <t>Breacher</t>
        </is>
      </c>
      <c r="B354" s="21" t="inlineStr">
        <is>
          <t>Снаряжение</t>
        </is>
      </c>
      <c r="C354" s="21" t="inlineStr">
        <is>
          <t>Agent</t>
        </is>
      </c>
      <c r="D354" s="21" t="inlineStr"/>
      <c r="E354" s="21" t="inlineStr"/>
      <c r="F354" s="31" t="n"/>
      <c r="G354" s="31" t="n"/>
      <c r="H354" s="31" t="n"/>
      <c r="I354" s="31" t="n"/>
      <c r="J354" s="31" t="n">
        <v>0</v>
      </c>
      <c r="K354" s="31" t="n">
        <v>0</v>
      </c>
      <c r="L354" s="31" t="n">
        <v>0</v>
      </c>
      <c r="M354" s="31" t="n">
        <v>0</v>
      </c>
      <c r="N354" s="21" t="inlineStr"/>
      <c r="O354" s="21" t="inlineStr"/>
      <c r="P354" s="21" t="inlineStr"/>
      <c r="Q354" s="21" t="inlineStr"/>
      <c r="R354" s="40" t="n">
        <v>500</v>
      </c>
      <c r="S354" s="21" t="inlineStr">
        <is>
          <t>DL:AAA 7 · T:Hope 179 · IR5 29</t>
        </is>
      </c>
      <c r="T354" s="21" t="inlineStr">
        <is>
          <t>A specialized tool designed for hacking Agents. An Agent upgraded with special hardware and software used to hack other Agents remotely. Breachers can only be used for hacking and will not function as a normal Agent, nor</t>
        </is>
      </c>
    </row>
    <row r="355">
      <c r="A355" s="21" t="inlineStr">
        <is>
          <t>Segotari Double Agent</t>
        </is>
      </c>
      <c r="B355" s="21" t="inlineStr">
        <is>
          <t>Снаряжение</t>
        </is>
      </c>
      <c r="C355" s="21" t="inlineStr">
        <is>
          <t>Agent</t>
        </is>
      </c>
      <c r="D355" s="21" t="inlineStr"/>
      <c r="E355" s="21" t="inlineStr"/>
      <c r="F355" s="31" t="n"/>
      <c r="G355" s="31" t="n"/>
      <c r="H355" s="31" t="n"/>
      <c r="I355" s="31" t="n"/>
      <c r="J355" s="31" t="n">
        <v>0</v>
      </c>
      <c r="K355" s="31" t="n">
        <v>0</v>
      </c>
      <c r="L355" s="31" t="n">
        <v>0</v>
      </c>
      <c r="M355" s="31" t="n">
        <v>0</v>
      </c>
      <c r="N355" s="21" t="inlineStr"/>
      <c r="O355" s="21" t="inlineStr"/>
      <c r="P355" s="21" t="inlineStr"/>
      <c r="Q355" s="21" t="inlineStr"/>
      <c r="R355" s="40" t="n">
        <v>50</v>
      </c>
      <c r="S355" s="21" t="inlineStr">
        <is>
          <t>DL:AAA 9 · DL:Sego 12</t>
        </is>
      </c>
      <c r="T355" s="21" t="inlineStr">
        <is>
          <t>The classic, with its peak 2020s styling: black clamshell case with a brushed finish and abstract silver circuit patterns. Feels cheap because it is cheap. A Poor Quality Agent with a touchscreen and audio for input, and</t>
        </is>
      </c>
    </row>
    <row r="356">
      <c r="A356" s="21" t="inlineStr">
        <is>
          <t>Wyzard Tech Merlyn</t>
        </is>
      </c>
      <c r="B356" s="21" t="inlineStr">
        <is>
          <t>Снаряжение</t>
        </is>
      </c>
      <c r="C356" s="21" t="inlineStr">
        <is>
          <t>Agent</t>
        </is>
      </c>
      <c r="D356" s="21" t="inlineStr"/>
      <c r="E356" s="21" t="inlineStr"/>
      <c r="F356" s="31" t="n"/>
      <c r="G356" s="31" t="n"/>
      <c r="H356" s="31" t="n"/>
      <c r="I356" s="31" t="n"/>
      <c r="J356" s="31" t="n">
        <v>0</v>
      </c>
      <c r="K356" s="31" t="n">
        <v>0</v>
      </c>
      <c r="L356" s="31" t="n">
        <v>0</v>
      </c>
      <c r="M356" s="31" t="n">
        <v>0</v>
      </c>
      <c r="N356" s="21" t="inlineStr"/>
      <c r="O356" s="21" t="inlineStr"/>
      <c r="P356" s="21" t="inlineStr"/>
      <c r="Q356" s="21" t="inlineStr"/>
      <c r="R356" s="40" t="n">
        <v>1000</v>
      </c>
      <c r="S356" s="21" t="inlineStr">
        <is>
          <t>DL:AAA 9 · IR5 31</t>
        </is>
      </c>
      <c r="T356" s="21" t="inlineStr">
        <is>
          <t>People wear a Merlyn to be seen wearing a Merlyn. The dense little wrist-mounted Agent and its flashy holo-display show that you care about taste. An Excellent Quality Agent that straps to the wrist like a watch. Touchsc</t>
        </is>
      </c>
    </row>
    <row r="357">
      <c r="A357" s="21" t="inlineStr">
        <is>
          <t>Zetatech Grade A</t>
        </is>
      </c>
      <c r="B357" s="21" t="inlineStr">
        <is>
          <t>Снаряжение</t>
        </is>
      </c>
      <c r="C357" s="21" t="inlineStr">
        <is>
          <t>Agent</t>
        </is>
      </c>
      <c r="D357" s="21" t="inlineStr"/>
      <c r="E357" s="21" t="inlineStr"/>
      <c r="F357" s="31" t="n"/>
      <c r="G357" s="31" t="n"/>
      <c r="H357" s="31" t="n"/>
      <c r="I357" s="31" t="n"/>
      <c r="J357" s="31" t="n">
        <v>0</v>
      </c>
      <c r="K357" s="31" t="n">
        <v>0</v>
      </c>
      <c r="L357" s="31" t="n">
        <v>0</v>
      </c>
      <c r="M357" s="31" t="n">
        <v>0</v>
      </c>
      <c r="N357" s="21" t="inlineStr"/>
      <c r="O357" s="21" t="inlineStr"/>
      <c r="P357" s="21" t="inlineStr"/>
      <c r="Q357" s="21" t="inlineStr"/>
      <c r="R357" s="40" t="n">
        <v>100</v>
      </c>
      <c r="S357" s="21" t="inlineStr">
        <is>
          <t>DL:AAA 9 · IR5 31</t>
        </is>
      </c>
      <c r="T357" s="21" t="inlineStr">
        <is>
          <t>One of the most ubiquitous Agent models. Unobtrusive. Effective. Rectangular. Available everywhere. A Standard Quality Agent with a single touchscreen for input and output, a microphone for audio input, and a speaker for</t>
        </is>
      </c>
    </row>
    <row r="358">
      <c r="A358" s="21" t="inlineStr">
        <is>
          <t>Zetatech Grade A-Plus</t>
        </is>
      </c>
      <c r="B358" s="21" t="inlineStr">
        <is>
          <t>Снаряжение</t>
        </is>
      </c>
      <c r="C358" s="21" t="inlineStr">
        <is>
          <t>Agent</t>
        </is>
      </c>
      <c r="D358" s="21" t="inlineStr"/>
      <c r="E358" s="21" t="inlineStr"/>
      <c r="F358" s="31" t="n"/>
      <c r="G358" s="31" t="n"/>
      <c r="H358" s="31" t="n"/>
      <c r="I358" s="31" t="n"/>
      <c r="J358" s="31" t="n">
        <v>0</v>
      </c>
      <c r="K358" s="31" t="n">
        <v>0</v>
      </c>
      <c r="L358" s="31" t="n">
        <v>0</v>
      </c>
      <c r="M358" s="31" t="n">
        <v>0</v>
      </c>
      <c r="N358" s="21" t="inlineStr"/>
      <c r="O358" s="21" t="inlineStr"/>
      <c r="P358" s="21" t="inlineStr"/>
      <c r="Q358" s="21" t="inlineStr"/>
      <c r="R358" s="40" t="n">
        <v>500</v>
      </c>
      <c r="S358" s="21" t="inlineStr">
        <is>
          <t>DL:AAA 9 · IR5 31</t>
        </is>
      </c>
      <c r="T358" s="21" t="inlineStr">
        <is>
          <t>An upgraded version of the Grade A. An Excellent Quality Agent with a single touchscreen for input and output, a microphone for audio input, a speaker for audio output, and holo-projector for additional visual output. On</t>
        </is>
      </c>
    </row>
    <row r="359">
      <c r="A359" s="21" t="inlineStr">
        <is>
          <t>Assault Rifle</t>
        </is>
      </c>
      <c r="B359" s="21" t="inlineStr">
        <is>
          <t>Огнестрельное оружие</t>
        </is>
      </c>
      <c r="C359" s="21" t="inlineStr">
        <is>
          <t>Assault Rifle</t>
        </is>
      </c>
      <c r="D359" s="21" t="inlineStr">
        <is>
          <t>Shoulder Arms</t>
        </is>
      </c>
      <c r="E359" s="21" t="inlineStr">
        <is>
          <t>5d6</t>
        </is>
      </c>
      <c r="F359" s="31" t="n">
        <v>1</v>
      </c>
      <c r="G359" s="31" t="n">
        <v>25</v>
      </c>
      <c r="H359" s="31" t="n"/>
      <c r="I359" s="31" t="n"/>
      <c r="J359" s="31" t="n">
        <v>0</v>
      </c>
      <c r="K359" s="31" t="n">
        <v>0</v>
      </c>
      <c r="L359" s="31" t="n">
        <v>0</v>
      </c>
      <c r="M359" s="31" t="n">
        <v>0</v>
      </c>
      <c r="N359" s="21" t="inlineStr"/>
      <c r="O359" s="21" t="n">
        <v>2</v>
      </c>
      <c r="P359" s="21" t="inlineStr">
        <is>
          <t>NO</t>
        </is>
      </c>
      <c r="Q359" s="21" t="inlineStr">
        <is>
          <t>Standard</t>
        </is>
      </c>
      <c r="R359" s="40" t="n">
        <v>500</v>
      </c>
      <c r="S359" s="21" t="inlineStr">
        <is>
          <t>CP:R 341</t>
        </is>
      </c>
      <c r="T359" s="21" t="inlineStr">
        <is>
          <t>Generic Assault Rifle. Can be flavored as any that is not listed here.</t>
        </is>
      </c>
    </row>
    <row r="360">
      <c r="A360" s="21" t="inlineStr">
        <is>
          <t>Arasaka HJSH-18 Masamune</t>
        </is>
      </c>
      <c r="B360" s="21" t="inlineStr">
        <is>
          <t>Огнестрельное оружие</t>
        </is>
      </c>
      <c r="C360" s="21" t="inlineStr">
        <is>
          <t>Assault Rifle</t>
        </is>
      </c>
      <c r="D360" s="21" t="inlineStr">
        <is>
          <t>Shoulder Arms</t>
        </is>
      </c>
      <c r="E360" s="21" t="inlineStr">
        <is>
          <t>5d6</t>
        </is>
      </c>
      <c r="F360" s="31" t="n">
        <v>1</v>
      </c>
      <c r="G360" s="31" t="n">
        <v>24</v>
      </c>
      <c r="H360" s="31" t="n"/>
      <c r="I360" s="31" t="n"/>
      <c r="J360" s="31" t="n">
        <v>0</v>
      </c>
      <c r="K360" s="31" t="n">
        <v>0</v>
      </c>
      <c r="L360" s="31" t="n">
        <v>0</v>
      </c>
      <c r="M360" s="31" t="n">
        <v>0</v>
      </c>
      <c r="N360" s="21" t="inlineStr"/>
      <c r="O360" s="21" t="n">
        <v>2</v>
      </c>
      <c r="P360" s="21" t="inlineStr">
        <is>
          <t>NO</t>
        </is>
      </c>
      <c r="Q360" s="21" t="inlineStr">
        <is>
          <t>Excellent</t>
        </is>
      </c>
      <c r="R360" s="40" t="n">
        <v>500</v>
      </c>
      <c r="S360" s="21" t="inlineStr">
        <is>
          <t>CEMK 32</t>
        </is>
      </c>
      <c r="T360" s="21" t="inlineStr">
        <is>
          <t>Equipped with a Power Rebuild, it increases Critical Injury Bonus Damage by 5, and allows the user to ricochet shots at a −4 penalty. Single shot mode deals 5d6 damage, firing 3 rounds per Attack Check. If fewer than 3 r</t>
        </is>
      </c>
    </row>
    <row r="361">
      <c r="A361" s="21" t="inlineStr">
        <is>
          <t>Arasaka WAA Bullpup</t>
        </is>
      </c>
      <c r="B361" s="21" t="inlineStr">
        <is>
          <t>Огнестрельное оружие</t>
        </is>
      </c>
      <c r="C361" s="21" t="inlineStr">
        <is>
          <t>Assault Rifle</t>
        </is>
      </c>
      <c r="D361" s="21" t="inlineStr">
        <is>
          <t>Shoulder Arms</t>
        </is>
      </c>
      <c r="E361" s="21" t="inlineStr">
        <is>
          <t>5d6</t>
        </is>
      </c>
      <c r="F361" s="31" t="n">
        <v>1</v>
      </c>
      <c r="G361" s="31" t="n">
        <v>30</v>
      </c>
      <c r="H361" s="31" t="n"/>
      <c r="I361" s="31" t="n"/>
      <c r="J361" s="31" t="n">
        <v>0</v>
      </c>
      <c r="K361" s="31" t="n">
        <v>0</v>
      </c>
      <c r="L361" s="31" t="n">
        <v>0</v>
      </c>
      <c r="M361" s="31" t="n">
        <v>0</v>
      </c>
      <c r="N361" s="21" t="inlineStr"/>
      <c r="O361" s="21" t="n">
        <v>2</v>
      </c>
      <c r="P361" s="21" t="inlineStr">
        <is>
          <t>NO</t>
        </is>
      </c>
      <c r="Q361" s="21" t="inlineStr">
        <is>
          <t>Standard</t>
        </is>
      </c>
      <c r="R361" s="40" t="n">
        <v>1000</v>
      </c>
      <c r="S361" s="21" t="inlineStr">
        <is>
          <t>DL:12Gun 3 · DGD 144</t>
        </is>
      </c>
      <c r="T361" s="21" t="inlineStr">
        <is>
          <t>The Arasaka WAA Bullpup Assault Weapon is an Exotic Assault Rifle with a 30-shot capacity and a Smartgun Link. Despite being an Exotic weapon, it is still capable of loading Non-Basic Ammunition.</t>
        </is>
      </c>
    </row>
    <row r="362">
      <c r="A362" s="21" t="inlineStr">
        <is>
          <t>AVAR Prototype</t>
        </is>
      </c>
      <c r="B362" s="21" t="inlineStr">
        <is>
          <t>Огнестрельное оружие</t>
        </is>
      </c>
      <c r="C362" s="21" t="inlineStr">
        <is>
          <t>Assault Rifle</t>
        </is>
      </c>
      <c r="D362" s="21" t="inlineStr">
        <is>
          <t>Shoulder Arms</t>
        </is>
      </c>
      <c r="E362" s="21" t="inlineStr">
        <is>
          <t>5d6</t>
        </is>
      </c>
      <c r="F362" s="31" t="n">
        <v>1</v>
      </c>
      <c r="G362" s="31" t="n">
        <v>25</v>
      </c>
      <c r="H362" s="31" t="n"/>
      <c r="I362" s="31" t="n"/>
      <c r="J362" s="31" t="n">
        <v>0</v>
      </c>
      <c r="K362" s="31" t="n">
        <v>0</v>
      </c>
      <c r="L362" s="31" t="n">
        <v>0</v>
      </c>
      <c r="M362" s="31" t="n">
        <v>0</v>
      </c>
      <c r="N362" s="21" t="inlineStr"/>
      <c r="O362" s="21" t="n">
        <v>2</v>
      </c>
      <c r="P362" s="21" t="inlineStr">
        <is>
          <t>NO</t>
        </is>
      </c>
      <c r="Q362" s="21" t="inlineStr">
        <is>
          <t>Excellent</t>
        </is>
      </c>
      <c r="R362" s="40" t="n">
        <v>15000</v>
      </c>
      <c r="S362" s="21" t="inlineStr">
        <is>
          <t>BC 102</t>
        </is>
      </c>
      <c r="T362" s="21" t="inlineStr">
        <is>
          <t>The Arasaka Variable Assault Rifle is an Excellent Quality Exotic Assault Rifle with a unique alternate fire railgun mode. Assuming you have both needed conversion parts, you can switch between its standard and special r</t>
        </is>
      </c>
    </row>
    <row r="363">
      <c r="A363" s="21" t="inlineStr">
        <is>
          <t>AVAR Prototype Parts</t>
        </is>
      </c>
      <c r="B363" s="21" t="inlineStr">
        <is>
          <t>Огнестрельное оружие</t>
        </is>
      </c>
      <c r="C363" s="21" t="inlineStr">
        <is>
          <t>Assault Rifle</t>
        </is>
      </c>
      <c r="D363" s="21" t="inlineStr">
        <is>
          <t>-</t>
        </is>
      </c>
      <c r="E363" s="21" t="inlineStr">
        <is>
          <t>-</t>
        </is>
      </c>
      <c r="F363" s="31" t="inlineStr">
        <is>
          <t>-</t>
        </is>
      </c>
      <c r="G363" s="31" t="inlineStr">
        <is>
          <t>-</t>
        </is>
      </c>
      <c r="H363" s="31" t="n"/>
      <c r="I363" s="31" t="n"/>
      <c r="J363" s="31" t="n">
        <v>0</v>
      </c>
      <c r="K363" s="31" t="n">
        <v>0</v>
      </c>
      <c r="L363" s="31" t="n">
        <v>0</v>
      </c>
      <c r="M363" s="31" t="n">
        <v>0</v>
      </c>
      <c r="N363" s="21" t="inlineStr"/>
      <c r="O363" s="21" t="inlineStr">
        <is>
          <t>-</t>
        </is>
      </c>
      <c r="P363" s="21" t="inlineStr">
        <is>
          <t>-</t>
        </is>
      </c>
      <c r="Q363" s="21" t="inlineStr">
        <is>
          <t>-</t>
        </is>
      </c>
      <c r="R363" s="40" t="n">
        <v>5000</v>
      </c>
      <c r="S363" s="21" t="inlineStr">
        <is>
          <t>BC 102</t>
        </is>
      </c>
      <c r="T363" s="21" t="inlineStr">
        <is>
          <t>The 15,000eb price point of the weapon assumes that it comes with both of its conversion parts. For each missing part in an AVAR at the time of sale, the price is lowered by 5,000eb. Individual conversion parts and the b</t>
        </is>
      </c>
    </row>
    <row r="364">
      <c r="A364" s="21" t="inlineStr">
        <is>
          <t>Chadran Arms Jungle Reaper</t>
        </is>
      </c>
      <c r="B364" s="21" t="inlineStr">
        <is>
          <t>Огнестрельное оружие</t>
        </is>
      </c>
      <c r="C364" s="21" t="inlineStr">
        <is>
          <t>Assault Rifle</t>
        </is>
      </c>
      <c r="D364" s="21" t="inlineStr">
        <is>
          <t>Shoulder Arms</t>
        </is>
      </c>
      <c r="E364" s="21" t="inlineStr">
        <is>
          <t>5d6</t>
        </is>
      </c>
      <c r="F364" s="31" t="n">
        <v>1</v>
      </c>
      <c r="G364" s="31" t="n">
        <v>25</v>
      </c>
      <c r="H364" s="31" t="n"/>
      <c r="I364" s="31" t="n"/>
      <c r="J364" s="31" t="n">
        <v>0</v>
      </c>
      <c r="K364" s="31" t="n">
        <v>0</v>
      </c>
      <c r="L364" s="31" t="n">
        <v>0</v>
      </c>
      <c r="M364" s="31" t="n">
        <v>0</v>
      </c>
      <c r="N364" s="21" t="inlineStr"/>
      <c r="O364" s="21" t="n">
        <v>2</v>
      </c>
      <c r="P364" s="21" t="inlineStr">
        <is>
          <t>NO</t>
        </is>
      </c>
      <c r="Q364" s="21" t="inlineStr">
        <is>
          <t>Poor</t>
        </is>
      </c>
      <c r="R364" s="40" t="n">
        <v>100</v>
      </c>
      <c r="S364" s="21" t="inlineStr">
        <is>
          <t>CP:R 342 · DL:TT 9 · IR5 43</t>
        </is>
      </c>
      <c r="T364" s="21" t="inlineStr">
        <is>
          <t>The City Reaper’s bigger sibling, the Jungle Reaper is in common usage by poorly outfitted militaries. A Poor Quality Assault Rifle.</t>
        </is>
      </c>
    </row>
    <row r="365">
      <c r="A365" s="21" t="inlineStr">
        <is>
          <t>Darra Polytechnic Binary</t>
        </is>
      </c>
      <c r="B365" s="21" t="inlineStr">
        <is>
          <t>Огнестрельное оружие</t>
        </is>
      </c>
      <c r="C365" s="21" t="inlineStr">
        <is>
          <t>Assault Rifle</t>
        </is>
      </c>
      <c r="D365" s="21" t="inlineStr">
        <is>
          <t>Shoulder Arms</t>
        </is>
      </c>
      <c r="E365" s="21" t="inlineStr">
        <is>
          <t>5d6</t>
        </is>
      </c>
      <c r="F365" s="31" t="n">
        <v>1</v>
      </c>
      <c r="G365" s="31" t="n">
        <v>25</v>
      </c>
      <c r="H365" s="31" t="n"/>
      <c r="I365" s="31" t="n"/>
      <c r="J365" s="31" t="n">
        <v>0</v>
      </c>
      <c r="K365" s="31" t="n">
        <v>0</v>
      </c>
      <c r="L365" s="31" t="n">
        <v>0</v>
      </c>
      <c r="M365" s="31" t="n">
        <v>0</v>
      </c>
      <c r="N365" s="21" t="inlineStr"/>
      <c r="O365" s="21" t="n">
        <v>2</v>
      </c>
      <c r="P365" s="21" t="inlineStr">
        <is>
          <t>NO</t>
        </is>
      </c>
      <c r="Q365" s="21" t="inlineStr">
        <is>
          <t>Poor</t>
        </is>
      </c>
      <c r="R365" s="40" t="n">
        <v>1000</v>
      </c>
      <c r="S365" s="21" t="inlineStr">
        <is>
          <t>DL:TT 9</t>
        </is>
      </c>
      <c r="T365" s="21" t="inlineStr">
        <is>
          <t>Darra Polytechnic enter the markets primarily via seafaring nomads importing from the Pacific Rim. The Binary is a classic assault rifle design paired with an undermounted grenade launcher. A Standard Quality Assault Rif</t>
        </is>
      </c>
    </row>
    <row r="366">
      <c r="A366" s="21" t="inlineStr">
        <is>
          <t>Eagletech Survivalist</t>
        </is>
      </c>
      <c r="B366" s="21" t="inlineStr">
        <is>
          <t>Огнестрельное оружие</t>
        </is>
      </c>
      <c r="C366" s="21" t="inlineStr">
        <is>
          <t>Assault Rifle</t>
        </is>
      </c>
      <c r="D366" s="21" t="inlineStr">
        <is>
          <t>Archery</t>
        </is>
      </c>
      <c r="E366" s="21" t="inlineStr">
        <is>
          <t>5d6/4</t>
        </is>
      </c>
      <c r="F366" s="31" t="n">
        <v>1</v>
      </c>
      <c r="G366" s="31" t="inlineStr">
        <is>
          <t>10 / 1</t>
        </is>
      </c>
      <c r="H366" s="31" t="n"/>
      <c r="I366" s="31" t="n"/>
      <c r="J366" s="31" t="n">
        <v>0</v>
      </c>
      <c r="K366" s="31" t="n">
        <v>0</v>
      </c>
      <c r="L366" s="31" t="n">
        <v>0</v>
      </c>
      <c r="M366" s="31" t="n">
        <v>0</v>
      </c>
      <c r="N366" s="21" t="inlineStr"/>
      <c r="O366" s="21" t="n">
        <v>2</v>
      </c>
      <c r="P366" s="21" t="inlineStr">
        <is>
          <t>NO</t>
        </is>
      </c>
      <c r="Q366" s="21" t="inlineStr">
        <is>
          <t>Standard</t>
        </is>
      </c>
      <c r="R366" s="40" t="n">
        <v>500</v>
      </c>
      <c r="S366" s="21" t="inlineStr">
        <is>
          <t>BC 103</t>
        </is>
      </c>
      <c r="T366" s="21" t="inlineStr">
        <is>
          <t>The Survivalist is an Exotic Combination Crossbow and Assault Rifle. The Assault Rifle mode is incapable of Autofire, only has 10 shots in its magazine, and is fired with the Archery Skill instead of Shoulder Arms despit</t>
        </is>
      </c>
    </row>
    <row r="367">
      <c r="A367" s="21" t="inlineStr">
        <is>
          <t>E VentureWare SportMaster</t>
        </is>
      </c>
      <c r="B367" s="21" t="inlineStr">
        <is>
          <t>Огнестрельное оружие</t>
        </is>
      </c>
      <c r="C367" s="21" t="inlineStr">
        <is>
          <t>Assault Rifle</t>
        </is>
      </c>
      <c r="D367" s="21" t="inlineStr">
        <is>
          <t>Shoulder Arms</t>
        </is>
      </c>
      <c r="E367" s="21" t="inlineStr">
        <is>
          <t>3d6</t>
        </is>
      </c>
      <c r="F367" s="31" t="n">
        <v>1</v>
      </c>
      <c r="G367" s="31" t="n">
        <v>25</v>
      </c>
      <c r="H367" s="31" t="n"/>
      <c r="I367" s="31" t="n"/>
      <c r="J367" s="31" t="n">
        <v>0</v>
      </c>
      <c r="K367" s="31" t="n">
        <v>0</v>
      </c>
      <c r="L367" s="31" t="n">
        <v>0</v>
      </c>
      <c r="M367" s="31" t="n">
        <v>0</v>
      </c>
      <c r="N367" s="21" t="inlineStr"/>
      <c r="O367" s="21" t="n">
        <v>2</v>
      </c>
      <c r="P367" s="21" t="inlineStr">
        <is>
          <t>NO</t>
        </is>
      </c>
      <c r="Q367" s="21" t="inlineStr">
        <is>
          <t>Standard</t>
        </is>
      </c>
      <c r="R367" s="40" t="n">
        <v>50</v>
      </c>
      <c r="S367" s="21" t="inlineStr">
        <is>
          <t>DL:BC+ 3 · IR4 11</t>
        </is>
      </c>
      <c r="T367" s="21" t="inlineStr">
        <is>
          <t>An Assault Rifle incapable of Autofire and Suppressive Fire that only can load Small Game Ammunition.</t>
        </is>
      </c>
    </row>
    <row r="368">
      <c r="A368" s="21" t="inlineStr">
        <is>
          <t>E VentureWare SurvivalMaster</t>
        </is>
      </c>
      <c r="B368" s="21" t="inlineStr">
        <is>
          <t>Огнестрельное оружие</t>
        </is>
      </c>
      <c r="C368" s="21" t="inlineStr">
        <is>
          <t>Assault Rifle</t>
        </is>
      </c>
      <c r="D368" s="21" t="inlineStr">
        <is>
          <t>Shoulder Arms</t>
        </is>
      </c>
      <c r="E368" s="21" t="inlineStr">
        <is>
          <t>5d6</t>
        </is>
      </c>
      <c r="F368" s="31" t="n">
        <v>1</v>
      </c>
      <c r="G368" s="31" t="n">
        <v>5</v>
      </c>
      <c r="H368" s="31" t="n"/>
      <c r="I368" s="31" t="n"/>
      <c r="J368" s="31" t="n">
        <v>0</v>
      </c>
      <c r="K368" s="31" t="n">
        <v>0</v>
      </c>
      <c r="L368" s="31" t="n">
        <v>0</v>
      </c>
      <c r="M368" s="31" t="n">
        <v>0</v>
      </c>
      <c r="N368" s="21" t="inlineStr"/>
      <c r="O368" s="21" t="n">
        <v>2</v>
      </c>
      <c r="P368" s="21" t="inlineStr">
        <is>
          <t>YES</t>
        </is>
      </c>
      <c r="Q368" s="21" t="inlineStr">
        <is>
          <t>Standard</t>
        </is>
      </c>
      <c r="R368" s="40" t="n">
        <v>100</v>
      </c>
      <c r="S368" s="21" t="inlineStr">
        <is>
          <t>DL:BC+ 3 · IR4 11</t>
        </is>
      </c>
      <c r="T368" s="21" t="inlineStr">
        <is>
          <t>An Exotic Assault Rifle incapable of Autofire and Suppressive Fire with a 5-round internal magazine. A Tech cannot Upgrade it in any way. Due to its unique construction, it can be disassembled to fit within its own hollo</t>
        </is>
      </c>
    </row>
    <row r="369">
      <c r="A369" s="21" t="inlineStr">
        <is>
          <t>Militech Mountain Goat</t>
        </is>
      </c>
      <c r="B369" s="21" t="inlineStr">
        <is>
          <t>Огнестрельное оружие</t>
        </is>
      </c>
      <c r="C369" s="21" t="inlineStr">
        <is>
          <t>Assault Rifle</t>
        </is>
      </c>
      <c r="D369" s="21" t="inlineStr">
        <is>
          <t>Shoulder Arms</t>
        </is>
      </c>
      <c r="E369" s="21" t="inlineStr">
        <is>
          <t>5d6</t>
        </is>
      </c>
      <c r="F369" s="31" t="n">
        <v>1</v>
      </c>
      <c r="G369" s="31" t="n">
        <v>25</v>
      </c>
      <c r="H369" s="31" t="n"/>
      <c r="I369" s="31" t="n"/>
      <c r="J369" s="31" t="n">
        <v>0</v>
      </c>
      <c r="K369" s="31" t="n">
        <v>0</v>
      </c>
      <c r="L369" s="31" t="n">
        <v>0</v>
      </c>
      <c r="M369" s="31" t="n">
        <v>0</v>
      </c>
      <c r="N369" s="21" t="inlineStr"/>
      <c r="O369" s="21" t="n">
        <v>2</v>
      </c>
      <c r="P369" s="21" t="inlineStr">
        <is>
          <t>NO</t>
        </is>
      </c>
      <c r="Q369" s="21" t="inlineStr">
        <is>
          <t>Excellent</t>
        </is>
      </c>
      <c r="R369" s="40" t="n">
        <v>1550</v>
      </c>
      <c r="S369" s="21" t="inlineStr">
        <is>
          <t>IR5 117</t>
        </is>
      </c>
      <c r="T369" s="21" t="inlineStr">
        <is>
          <t>A battle rifle aimed at and heavily marketed to working Solos. According to leaked internal documents, after a data-driven overreaction from their marketing department, Militech spared no expense in the Mountain Goat’s p</t>
        </is>
      </c>
    </row>
    <row r="370">
      <c r="A370" s="21" t="inlineStr">
        <is>
          <t>Militech Dragon</t>
        </is>
      </c>
      <c r="B370" s="21" t="inlineStr">
        <is>
          <t>Огнестрельное оружие</t>
        </is>
      </c>
      <c r="C370" s="21" t="inlineStr">
        <is>
          <t>Assault Rifle</t>
        </is>
      </c>
      <c r="D370" s="21" t="inlineStr">
        <is>
          <t>Shoulder Arms</t>
        </is>
      </c>
      <c r="E370" s="21" t="inlineStr">
        <is>
          <t>5d6</t>
        </is>
      </c>
      <c r="F370" s="31" t="n">
        <v>1</v>
      </c>
      <c r="G370" s="31" t="n">
        <v>25</v>
      </c>
      <c r="H370" s="31" t="n"/>
      <c r="I370" s="31" t="n"/>
      <c r="J370" s="31" t="n">
        <v>0</v>
      </c>
      <c r="K370" s="31" t="n">
        <v>0</v>
      </c>
      <c r="L370" s="31" t="n">
        <v>0</v>
      </c>
      <c r="M370" s="31" t="n">
        <v>0</v>
      </c>
      <c r="N370" s="21" t="inlineStr"/>
      <c r="O370" s="21" t="n">
        <v>2</v>
      </c>
      <c r="P370" s="21" t="inlineStr">
        <is>
          <t>NO</t>
        </is>
      </c>
      <c r="Q370" s="21" t="inlineStr">
        <is>
          <t>Excellent</t>
        </is>
      </c>
      <c r="R370" s="40" t="n">
        <v>1000</v>
      </c>
      <c r="S370" s="21" t="inlineStr">
        <is>
          <t>CP:R 342 · DL:TT 9 · IR5 43</t>
        </is>
      </c>
      <c r="T370" s="21" t="inlineStr">
        <is>
          <t>When PMC/Security firm Lazarus deploys for mass combat, their troops carry the Militech Dragon. Its lightweight frame makes it especially popular with paratroopers. An Excellent Quality Assault Rifle.</t>
        </is>
      </c>
    </row>
    <row r="371">
      <c r="A371" s="21" t="inlineStr">
        <is>
          <t>Militech Ronin</t>
        </is>
      </c>
      <c r="B371" s="21" t="inlineStr">
        <is>
          <t>Огнестрельное оружие</t>
        </is>
      </c>
      <c r="C371" s="21" t="inlineStr">
        <is>
          <t>Assault Rifle</t>
        </is>
      </c>
      <c r="D371" s="21" t="inlineStr">
        <is>
          <t>Shoulder Arms</t>
        </is>
      </c>
      <c r="E371" s="21" t="inlineStr">
        <is>
          <t>5d6</t>
        </is>
      </c>
      <c r="F371" s="31" t="n">
        <v>1</v>
      </c>
      <c r="G371" s="31" t="n">
        <v>25</v>
      </c>
      <c r="H371" s="31" t="n"/>
      <c r="I371" s="31" t="n"/>
      <c r="J371" s="31" t="n">
        <v>0</v>
      </c>
      <c r="K371" s="31" t="n">
        <v>0</v>
      </c>
      <c r="L371" s="31" t="n">
        <v>0</v>
      </c>
      <c r="M371" s="31" t="n">
        <v>0</v>
      </c>
      <c r="N371" s="21" t="inlineStr"/>
      <c r="O371" s="21" t="n">
        <v>2</v>
      </c>
      <c r="P371" s="21" t="inlineStr">
        <is>
          <t>NO</t>
        </is>
      </c>
      <c r="Q371" s="21" t="inlineStr">
        <is>
          <t>Standard</t>
        </is>
      </c>
      <c r="R371" s="40" t="n">
        <v>500</v>
      </c>
      <c r="S371" s="21" t="inlineStr">
        <is>
          <t>CP:R 342 · DL:TT 9 · IR5 43</t>
        </is>
      </c>
      <c r="T371" s="21" t="inlineStr">
        <is>
          <t>The Militech Ronin Light Assault was the standard for the US military and Militech troops for decades. There were arguably better weapons available, but the Ronin was easy to use, easy to service, and there were millions</t>
        </is>
      </c>
    </row>
    <row r="372">
      <c r="A372" s="21" t="inlineStr">
        <is>
          <t>Militech Ronin Hyperlight</t>
        </is>
      </c>
      <c r="B372" s="21" t="inlineStr">
        <is>
          <t>Огнестрельное оружие</t>
        </is>
      </c>
      <c r="C372" s="21" t="inlineStr">
        <is>
          <t>Assault Rifle</t>
        </is>
      </c>
      <c r="D372" s="21" t="inlineStr">
        <is>
          <t>Shoulder Arms</t>
        </is>
      </c>
      <c r="E372" s="21" t="inlineStr">
        <is>
          <t>4d6</t>
        </is>
      </c>
      <c r="F372" s="31" t="n">
        <v>1</v>
      </c>
      <c r="G372" s="31" t="n">
        <v>35</v>
      </c>
      <c r="H372" s="31" t="n"/>
      <c r="I372" s="31" t="n"/>
      <c r="J372" s="31" t="n">
        <v>0</v>
      </c>
      <c r="K372" s="31" t="n">
        <v>0</v>
      </c>
      <c r="L372" s="31" t="n">
        <v>0</v>
      </c>
      <c r="M372" s="31" t="n">
        <v>0</v>
      </c>
      <c r="N372" s="21" t="inlineStr"/>
      <c r="O372" s="21" t="n">
        <v>2</v>
      </c>
      <c r="P372" s="21" t="inlineStr">
        <is>
          <t>NO</t>
        </is>
      </c>
      <c r="Q372" s="21" t="inlineStr">
        <is>
          <t>Excellent</t>
        </is>
      </c>
      <c r="R372" s="40" t="n">
        <v>600</v>
      </c>
      <c r="S372" s="21" t="inlineStr">
        <is>
          <t>DL:TT 9 · IR5 43</t>
        </is>
      </c>
      <c r="T372" s="21" t="inlineStr">
        <is>
          <t>A variation of the Militech Ronin Light Assault, the Hyperlight is marketed to security forces who deal primarily with poorly armored threats. Its low weight makes the rifle easier to control but decreases the potency of</t>
        </is>
      </c>
    </row>
    <row r="373">
      <c r="A373" s="21" t="inlineStr">
        <is>
          <t>Pursuit Security Crowd Buster</t>
        </is>
      </c>
      <c r="B373" s="21" t="inlineStr">
        <is>
          <t>Огнестрельное оружие</t>
        </is>
      </c>
      <c r="C373" s="21" t="inlineStr">
        <is>
          <t>Assault Rifle</t>
        </is>
      </c>
      <c r="D373" s="21" t="inlineStr">
        <is>
          <t>Shoulder Arms</t>
        </is>
      </c>
      <c r="E373" s="21" t="inlineStr">
        <is>
          <t>5d6</t>
        </is>
      </c>
      <c r="F373" s="31" t="n">
        <v>1</v>
      </c>
      <c r="G373" s="31" t="n">
        <v>25</v>
      </c>
      <c r="H373" s="31" t="n"/>
      <c r="I373" s="31" t="n"/>
      <c r="J373" s="31" t="n">
        <v>0</v>
      </c>
      <c r="K373" s="31" t="n">
        <v>0</v>
      </c>
      <c r="L373" s="31" t="n">
        <v>0</v>
      </c>
      <c r="M373" s="31" t="n">
        <v>0</v>
      </c>
      <c r="N373" s="21" t="inlineStr"/>
      <c r="O373" s="21" t="n">
        <v>2</v>
      </c>
      <c r="P373" s="21" t="inlineStr">
        <is>
          <t>NO</t>
        </is>
      </c>
      <c r="Q373" s="21" t="inlineStr">
        <is>
          <t>Standard</t>
        </is>
      </c>
      <c r="R373" s="40" t="n">
        <v>5000</v>
      </c>
      <c r="S373" s="21" t="inlineStr">
        <is>
          <t>BC 116</t>
        </is>
      </c>
      <c r="T373" s="21" t="inlineStr">
        <is>
          <t>This is an Exotic Assault Rifle with a unique alternative firing mode. As an Action the user can make a single shot using the Assault Rifle Range table, which, instead of dealing damage on a hit, forces the target to try</t>
        </is>
      </c>
    </row>
    <row r="374">
      <c r="A374" s="21" t="inlineStr">
        <is>
          <t>Rhinemetall EMG-86 Railgun</t>
        </is>
      </c>
      <c r="B374" s="21" t="inlineStr">
        <is>
          <t>Огнестрельное оружие</t>
        </is>
      </c>
      <c r="C374" s="21" t="inlineStr">
        <is>
          <t>Assault Rifle</t>
        </is>
      </c>
      <c r="D374" s="21" t="inlineStr">
        <is>
          <t>Heavy Weapons</t>
        </is>
      </c>
      <c r="E374" s="21" t="inlineStr">
        <is>
          <t>5d6</t>
        </is>
      </c>
      <c r="F374" s="31" t="n">
        <v>1</v>
      </c>
      <c r="G374" s="31" t="n">
        <v>4</v>
      </c>
      <c r="H374" s="31" t="n"/>
      <c r="I374" s="31" t="n"/>
      <c r="J374" s="31" t="n">
        <v>0</v>
      </c>
      <c r="K374" s="31" t="n">
        <v>0</v>
      </c>
      <c r="L374" s="31" t="n">
        <v>0</v>
      </c>
      <c r="M374" s="31" t="n">
        <v>0</v>
      </c>
      <c r="N374" s="21" t="inlineStr"/>
      <c r="O374" s="21" t="n">
        <v>2</v>
      </c>
      <c r="P374" s="21" t="inlineStr">
        <is>
          <t>NO</t>
        </is>
      </c>
      <c r="Q374" s="21" t="inlineStr">
        <is>
          <t>Standard</t>
        </is>
      </c>
      <c r="R374" s="40" t="n">
        <v>5000</v>
      </c>
      <c r="S374" s="21" t="inlineStr">
        <is>
          <t>CP:R 349</t>
        </is>
      </c>
      <c r="T374" s="21" t="inlineStr">
        <is>
          <t>The Rhinemetall EMG-86 Railgun is an Assault Rifle that cannot use Autofire or Aimed Shots. Each shot ignores the SP of its target if the SP is lower than SP11. Reloading it requires 2 Actions. It can only be used by a p</t>
        </is>
      </c>
    </row>
    <row r="375">
      <c r="A375" s="21" t="inlineStr">
        <is>
          <t>Sternmeyer M-02</t>
        </is>
      </c>
      <c r="B375" s="21" t="inlineStr">
        <is>
          <t>Огнестрельное оружие</t>
        </is>
      </c>
      <c r="C375" s="21" t="inlineStr">
        <is>
          <t>Assault Rifle</t>
        </is>
      </c>
      <c r="D375" s="21" t="inlineStr">
        <is>
          <t>Heavy Weapons</t>
        </is>
      </c>
      <c r="E375" s="21" t="inlineStr">
        <is>
          <t>5d6</t>
        </is>
      </c>
      <c r="F375" s="31" t="n">
        <v>1</v>
      </c>
      <c r="G375" s="31" t="n">
        <v>80</v>
      </c>
      <c r="H375" s="31" t="n"/>
      <c r="I375" s="31" t="n"/>
      <c r="J375" s="31" t="n">
        <v>0</v>
      </c>
      <c r="K375" s="31" t="n">
        <v>0</v>
      </c>
      <c r="L375" s="31" t="n">
        <v>0</v>
      </c>
      <c r="M375" s="31" t="n">
        <v>0</v>
      </c>
      <c r="N375" s="21" t="inlineStr"/>
      <c r="O375" s="21" t="n">
        <v>2</v>
      </c>
      <c r="P375" s="21" t="inlineStr">
        <is>
          <t>NO</t>
        </is>
      </c>
      <c r="Q375" s="21" t="inlineStr">
        <is>
          <t>Standard</t>
        </is>
      </c>
      <c r="R375" s="40" t="n">
        <v>1000</v>
      </c>
      <c r="S375" s="21" t="inlineStr">
        <is>
          <t>DL:WG 5 · IR3 29</t>
        </is>
      </c>
      <c r="T375" s="21" t="inlineStr">
        <is>
          <t>An Exotic Assault Rifle incapable of Autofire and Suppressive Fire. It is fired with the Heavy Weapons Skill instead of the Shoulder Arms Skill and has an 80 shot capacity. This weapon fires its own proprietary tround am</t>
        </is>
      </c>
    </row>
    <row r="376">
      <c r="A376" s="21" t="inlineStr">
        <is>
          <t>Sternmeyer M-95A4</t>
        </is>
      </c>
      <c r="B376" s="21" t="inlineStr">
        <is>
          <t>Огнестрельное оружие</t>
        </is>
      </c>
      <c r="C376" s="21" t="inlineStr">
        <is>
          <t>Assault Rifle</t>
        </is>
      </c>
      <c r="D376" s="21" t="inlineStr">
        <is>
          <t>Shoulder Arms</t>
        </is>
      </c>
      <c r="E376" s="21" t="inlineStr">
        <is>
          <t>5d6</t>
        </is>
      </c>
      <c r="F376" s="31" t="n">
        <v>1</v>
      </c>
      <c r="G376" s="31" t="n">
        <v>45</v>
      </c>
      <c r="H376" s="31" t="n"/>
      <c r="I376" s="31" t="n"/>
      <c r="J376" s="31" t="n">
        <v>0</v>
      </c>
      <c r="K376" s="31" t="n">
        <v>0</v>
      </c>
      <c r="L376" s="31" t="n">
        <v>0</v>
      </c>
      <c r="M376" s="31" t="n">
        <v>0</v>
      </c>
      <c r="N376" s="21" t="inlineStr"/>
      <c r="O376" s="21" t="n">
        <v>2</v>
      </c>
      <c r="P376" s="21" t="inlineStr">
        <is>
          <t>NO</t>
        </is>
      </c>
      <c r="Q376" s="21" t="inlineStr">
        <is>
          <t>Excellent</t>
        </is>
      </c>
      <c r="R376" s="40" t="n">
        <v>1600</v>
      </c>
      <c r="S376" s="21" t="inlineStr">
        <is>
          <t>DL:TT 10 · IR5 44</t>
        </is>
      </c>
      <c r="T376" s="21" t="inlineStr">
        <is>
          <t>An Excellent Quality Assault Rifle. It comes equipped with an installed Drum Magazine and Sniping Scope.</t>
        </is>
      </c>
    </row>
    <row r="377">
      <c r="A377" s="21" t="inlineStr">
        <is>
          <t>Stolbovoy ST-5 Assault Rifle</t>
        </is>
      </c>
      <c r="B377" s="21" t="inlineStr">
        <is>
          <t>Огнестрельное оружие</t>
        </is>
      </c>
      <c r="C377" s="21" t="inlineStr">
        <is>
          <t>Assault Rifle</t>
        </is>
      </c>
      <c r="D377" s="21" t="inlineStr">
        <is>
          <t>Shoulder Arms</t>
        </is>
      </c>
      <c r="E377" s="21" t="inlineStr">
        <is>
          <t>5d6</t>
        </is>
      </c>
      <c r="F377" s="31" t="n">
        <v>1</v>
      </c>
      <c r="G377" s="31" t="n">
        <v>20</v>
      </c>
      <c r="H377" s="31" t="n"/>
      <c r="I377" s="31" t="n"/>
      <c r="J377" s="31" t="n">
        <v>0</v>
      </c>
      <c r="K377" s="31" t="n">
        <v>0</v>
      </c>
      <c r="L377" s="31" t="n">
        <v>0</v>
      </c>
      <c r="M377" s="31" t="n">
        <v>0</v>
      </c>
      <c r="N377" s="21" t="inlineStr"/>
      <c r="O377" s="21" t="n">
        <v>2</v>
      </c>
      <c r="P377" s="21" t="inlineStr">
        <is>
          <t>NO</t>
        </is>
      </c>
      <c r="Q377" s="21" t="inlineStr">
        <is>
          <t>Poor</t>
        </is>
      </c>
      <c r="R377" s="40" t="n">
        <v>100</v>
      </c>
      <c r="S377" s="21" t="inlineStr">
        <is>
          <t>DL:12Gun 6 · IR2 62</t>
        </is>
      </c>
      <c r="T377" s="21" t="inlineStr">
        <is>
          <t>Exotic Poor Quality Assault Rifle with a 20 shot capacity. When jammed, firing this weapon has a 50% chance of clearing the jam and firing as normal. If the coin flip is lost, the weapon fails to fire and the Action is u</t>
        </is>
      </c>
    </row>
    <row r="378">
      <c r="A378" s="21" t="inlineStr">
        <is>
          <t>Superchrome© Glam Rifle</t>
        </is>
      </c>
      <c r="B378" s="21" t="inlineStr">
        <is>
          <t>Огнестрельное оружие</t>
        </is>
      </c>
      <c r="C378" s="21" t="inlineStr">
        <is>
          <t>Assault Rifle</t>
        </is>
      </c>
      <c r="D378" s="21" t="inlineStr">
        <is>
          <t>Shoulder Arms</t>
        </is>
      </c>
      <c r="E378" s="21" t="inlineStr">
        <is>
          <t>5d6</t>
        </is>
      </c>
      <c r="F378" s="31" t="n">
        <v>1</v>
      </c>
      <c r="G378" s="31" t="n">
        <v>25</v>
      </c>
      <c r="H378" s="31" t="n"/>
      <c r="I378" s="31" t="n"/>
      <c r="J378" s="31" t="n">
        <v>0</v>
      </c>
      <c r="K378" s="31" t="n">
        <v>0</v>
      </c>
      <c r="L378" s="31" t="n">
        <v>0</v>
      </c>
      <c r="M378" s="31" t="n">
        <v>0</v>
      </c>
      <c r="N378" s="21" t="inlineStr"/>
      <c r="O378" s="21" t="n">
        <v>2</v>
      </c>
      <c r="P378" s="21" t="inlineStr">
        <is>
          <t>NO</t>
        </is>
      </c>
      <c r="Q378" s="21" t="inlineStr">
        <is>
          <t>Standard</t>
        </is>
      </c>
      <c r="R378" s="40" t="n">
        <v>1000</v>
      </c>
      <c r="S378" s="21" t="inlineStr">
        <is>
          <t>BC 120</t>
        </is>
      </c>
      <c r="T378" s="21" t="inlineStr">
        <is>
          <t xml:space="preserve">Exotic Assault Rifle. Despite being an Exotic Weapon, it can still fire Non-Basic Ammunition. When worn openly, the user gets a +2 to their Wardrobe and Style Skill Checks. This bonus only applies once and won’t combine </t>
        </is>
      </c>
    </row>
    <row r="379">
      <c r="A379" s="21" t="inlineStr">
        <is>
          <t>Tech Russia BMG-500</t>
        </is>
      </c>
      <c r="B379" s="21" t="inlineStr">
        <is>
          <t>Огнестрельное оружие</t>
        </is>
      </c>
      <c r="C379" s="21" t="inlineStr">
        <is>
          <t>Assault Rifle</t>
        </is>
      </c>
      <c r="D379" s="21" t="inlineStr">
        <is>
          <t>Heavy Weapons</t>
        </is>
      </c>
      <c r="E379" s="21" t="inlineStr">
        <is>
          <t>5d6</t>
        </is>
      </c>
      <c r="F379" s="31" t="n">
        <v>1</v>
      </c>
      <c r="G379" s="31" t="n">
        <v>500</v>
      </c>
      <c r="H379" s="31" t="n"/>
      <c r="I379" s="31" t="n"/>
      <c r="J379" s="31" t="n">
        <v>0</v>
      </c>
      <c r="K379" s="31" t="n">
        <v>0</v>
      </c>
      <c r="L379" s="31" t="n">
        <v>0</v>
      </c>
      <c r="M379" s="31" t="n">
        <v>0</v>
      </c>
      <c r="N379" s="21" t="inlineStr"/>
      <c r="O379" s="21" t="n">
        <v>2</v>
      </c>
      <c r="P379" s="21" t="inlineStr">
        <is>
          <t>NO</t>
        </is>
      </c>
      <c r="Q379" s="21" t="inlineStr">
        <is>
          <t>Standard</t>
        </is>
      </c>
      <c r="R379" s="40" t="n">
        <v>1000</v>
      </c>
      <c r="S379" s="21" t="inlineStr">
        <is>
          <t>BC 122</t>
        </is>
      </c>
      <c r="T379" s="21" t="inlineStr">
        <is>
          <t>Exotic Assault Rifle fired with the Heavy Weapons Skill when fired in single shot. Its enormous box magazine holds 500 rounds. Firing this weapon requires a BODY 11 or higher unless it is mounted. As an Action, its bipod</t>
        </is>
      </c>
    </row>
    <row r="380">
      <c r="A380" s="21" t="inlineStr">
        <is>
          <t>Tsunami Arms Helix</t>
        </is>
      </c>
      <c r="B380" s="21" t="inlineStr">
        <is>
          <t>Огнестрельное оружие</t>
        </is>
      </c>
      <c r="C380" s="21" t="inlineStr">
        <is>
          <t>Assault Rifle</t>
        </is>
      </c>
      <c r="D380" s="21" t="inlineStr">
        <is>
          <t>Autofire</t>
        </is>
      </c>
      <c r="E380" s="21" t="inlineStr">
        <is>
          <t>-</t>
        </is>
      </c>
      <c r="F380" s="31" t="n">
        <v>1</v>
      </c>
      <c r="G380" s="31" t="n">
        <v>40</v>
      </c>
      <c r="H380" s="31" t="n"/>
      <c r="I380" s="31" t="n"/>
      <c r="J380" s="31" t="n">
        <v>0</v>
      </c>
      <c r="K380" s="31" t="n">
        <v>0</v>
      </c>
      <c r="L380" s="31" t="n">
        <v>0</v>
      </c>
      <c r="M380" s="31" t="n">
        <v>0</v>
      </c>
      <c r="N380" s="21" t="inlineStr"/>
      <c r="O380" s="21" t="n">
        <v>2</v>
      </c>
      <c r="P380" s="21" t="inlineStr">
        <is>
          <t>NO</t>
        </is>
      </c>
      <c r="Q380" s="21" t="inlineStr">
        <is>
          <t>Standard</t>
        </is>
      </c>
      <c r="R380" s="40" t="n">
        <v>5000</v>
      </c>
      <c r="S380" s="21" t="inlineStr">
        <is>
          <t>CP:R 349</t>
        </is>
      </c>
      <c r="T380" s="21" t="inlineStr">
        <is>
          <t>Exotic Assault Rifle with a 40 round capacity that can only Autofire. It uses 20 rounds whenever it fires and has a max Autofire multiplier of 5. It can only be used by a person with BODY 11 or if Mounted and takes 2 rou</t>
        </is>
      </c>
    </row>
    <row r="381">
      <c r="A381" s="21" t="inlineStr">
        <is>
          <t>AquaForm®</t>
        </is>
      </c>
      <c r="B381" s="21" t="inlineStr">
        <is>
          <t>Кибернетика</t>
        </is>
      </c>
      <c r="C381" s="21" t="inlineStr">
        <is>
          <t>BioExotics</t>
        </is>
      </c>
      <c r="D381" s="21" t="inlineStr"/>
      <c r="E381" s="21" t="inlineStr"/>
      <c r="F381" s="31" t="n"/>
      <c r="G381" s="31" t="n"/>
      <c r="H381" s="31" t="n"/>
      <c r="I381" s="31" t="n"/>
      <c r="J381" s="31" t="n">
        <v>0</v>
      </c>
      <c r="K381" s="31" t="n">
        <v>0</v>
      </c>
      <c r="L381" s="31" t="n">
        <v>0</v>
      </c>
      <c r="M381" s="31" t="n">
        <v>22</v>
      </c>
      <c r="N381" s="21" t="inlineStr">
        <is>
          <t>Zoo</t>
        </is>
      </c>
      <c r="O381" s="21" t="inlineStr"/>
      <c r="P381" s="21" t="inlineStr"/>
      <c r="Q381" s="21" t="inlineStr"/>
      <c r="R381" s="40" t="n">
        <v>4500</v>
      </c>
      <c r="S381" s="21" t="inlineStr">
        <is>
          <t>IR2 69</t>
        </is>
      </c>
      <c r="T381" s="21" t="inlineStr">
        <is>
          <t>Biotechnica’s luxurious AquaForm® has been the delight of ocean lovers and lawyers alike for 25 years! Now remastered with newly re-textured and aquadynamic shark skin, celebrate passing the bar with a brand new body fro</t>
        </is>
      </c>
    </row>
    <row r="382">
      <c r="A382" s="21" t="inlineStr">
        <is>
          <t>BigKatt®</t>
        </is>
      </c>
      <c r="B382" s="21" t="inlineStr">
        <is>
          <t>Кибернетика</t>
        </is>
      </c>
      <c r="C382" s="21" t="inlineStr">
        <is>
          <t>BioExotics</t>
        </is>
      </c>
      <c r="D382" s="21" t="inlineStr"/>
      <c r="E382" s="21" t="inlineStr"/>
      <c r="F382" s="31" t="n"/>
      <c r="G382" s="31" t="n"/>
      <c r="H382" s="31" t="n"/>
      <c r="I382" s="31" t="n"/>
      <c r="J382" s="31" t="n">
        <v>0</v>
      </c>
      <c r="K382" s="31" t="n">
        <v>0</v>
      </c>
      <c r="L382" s="31" t="n">
        <v>0</v>
      </c>
      <c r="M382" s="31" t="n">
        <v>36</v>
      </c>
      <c r="N382" s="21" t="inlineStr">
        <is>
          <t>Zoo</t>
        </is>
      </c>
      <c r="O382" s="21" t="inlineStr"/>
      <c r="P382" s="21" t="inlineStr"/>
      <c r="Q382" s="21" t="inlineStr"/>
      <c r="R382" s="40" t="n">
        <v>7000</v>
      </c>
      <c r="S382" s="21" t="inlineStr">
        <is>
          <t>IR2 69</t>
        </is>
      </c>
      <c r="T382" s="21" t="inlineStr">
        <is>
          <t>When KatNip® isn’t enough for you, go big with BigKatt®. Become the concrete jungle’s latest predator in your choice of feline form. BigKatt® comes in lion, tiger, liger, tigon, puma and cheetah, and oh my, so many more.</t>
        </is>
      </c>
    </row>
    <row r="383">
      <c r="A383" s="21" t="inlineStr">
        <is>
          <t>Buhgouse®</t>
        </is>
      </c>
      <c r="B383" s="21" t="inlineStr">
        <is>
          <t>Кибернетика</t>
        </is>
      </c>
      <c r="C383" s="21" t="inlineStr">
        <is>
          <t>BioExotics</t>
        </is>
      </c>
      <c r="D383" s="21" t="inlineStr"/>
      <c r="E383" s="21" t="inlineStr"/>
      <c r="F383" s="31" t="n"/>
      <c r="G383" s="31" t="n"/>
      <c r="H383" s="31" t="n"/>
      <c r="I383" s="31" t="n"/>
      <c r="J383" s="31" t="n">
        <v>0</v>
      </c>
      <c r="K383" s="31" t="n">
        <v>0</v>
      </c>
      <c r="L383" s="31" t="n">
        <v>0</v>
      </c>
      <c r="M383" s="31" t="n">
        <v>48</v>
      </c>
      <c r="N383" s="21" t="inlineStr">
        <is>
          <t>Zoo</t>
        </is>
      </c>
      <c r="O383" s="21" t="inlineStr"/>
      <c r="P383" s="21" t="inlineStr"/>
      <c r="Q383" s="21" t="inlineStr"/>
      <c r="R383" s="40" t="n">
        <v>6000</v>
      </c>
      <c r="S383" s="21" t="inlineStr">
        <is>
          <t>IR2 69</t>
        </is>
      </c>
      <c r="T383" s="21" t="inlineStr">
        <is>
          <t>Taking a step sideways on the evolutionary scale has never been easier with the 25th anniversary Bodysculpt. A truly rare and exotic form, Bughouse® purchasers are constantly Biotechnica’s number one most satisfied Bioex</t>
        </is>
      </c>
    </row>
    <row r="384">
      <c r="A384" s="21" t="inlineStr">
        <is>
          <t>Demonique™</t>
        </is>
      </c>
      <c r="B384" s="21" t="inlineStr">
        <is>
          <t>Кибернетика</t>
        </is>
      </c>
      <c r="C384" s="21" t="inlineStr">
        <is>
          <t>BioExotics</t>
        </is>
      </c>
      <c r="D384" s="21" t="inlineStr"/>
      <c r="E384" s="21" t="inlineStr"/>
      <c r="F384" s="31" t="n"/>
      <c r="G384" s="31" t="n"/>
      <c r="H384" s="31" t="n"/>
      <c r="I384" s="31" t="n"/>
      <c r="J384" s="31" t="n">
        <v>0</v>
      </c>
      <c r="K384" s="31" t="n">
        <v>0</v>
      </c>
      <c r="L384" s="31" t="n">
        <v>0</v>
      </c>
      <c r="M384" s="31" t="n">
        <v>14</v>
      </c>
      <c r="N384" s="21" t="inlineStr">
        <is>
          <t>Zoo</t>
        </is>
      </c>
      <c r="O384" s="21" t="inlineStr"/>
      <c r="P384" s="21" t="inlineStr"/>
      <c r="Q384" s="21" t="inlineStr"/>
      <c r="R384" s="40" t="n">
        <v>2100</v>
      </c>
      <c r="S384" s="21" t="inlineStr">
        <is>
          <t>IR2 67</t>
        </is>
      </c>
      <c r="T384" s="21" t="inlineStr">
        <is>
          <t>Dark and Mysterious, Demonique™ is Biotechnica’s most sensual Exotic currently on the market. If you desire to be the X factor at any function, you want to be Demonique™. Never worry about shoes again when you can wear h</t>
        </is>
      </c>
    </row>
    <row r="385">
      <c r="A385" s="21" t="inlineStr">
        <is>
          <t>Draconic FantaForm™</t>
        </is>
      </c>
      <c r="B385" s="21" t="inlineStr">
        <is>
          <t>Кибернетика</t>
        </is>
      </c>
      <c r="C385" s="21" t="inlineStr">
        <is>
          <t>BioExotics</t>
        </is>
      </c>
      <c r="D385" s="21" t="inlineStr"/>
      <c r="E385" s="21" t="inlineStr"/>
      <c r="F385" s="31" t="n"/>
      <c r="G385" s="31" t="n"/>
      <c r="H385" s="31" t="n"/>
      <c r="I385" s="31" t="n"/>
      <c r="J385" s="31" t="n">
        <v>0</v>
      </c>
      <c r="K385" s="31" t="n">
        <v>0</v>
      </c>
      <c r="L385" s="31" t="n">
        <v>0</v>
      </c>
      <c r="M385" s="31" t="n">
        <v>35</v>
      </c>
      <c r="N385" s="21" t="inlineStr">
        <is>
          <t>Zoo</t>
        </is>
      </c>
      <c r="O385" s="21" t="inlineStr"/>
      <c r="P385" s="21" t="inlineStr"/>
      <c r="Q385" s="21" t="inlineStr"/>
      <c r="R385" s="40" t="n">
        <v>11000</v>
      </c>
      <c r="S385" s="21" t="inlineStr">
        <is>
          <t>IR2 71</t>
        </is>
      </c>
      <c r="T385" s="21" t="inlineStr">
        <is>
          <t xml:space="preserve">The original and ultimate FantaForm™, Draconic has been in steady development by our research teams for over 25 years, evolving with each generation. We are proud to announce the release of our latest dragon bodysculpt, </t>
        </is>
      </c>
    </row>
    <row r="386">
      <c r="A386" s="21" t="inlineStr">
        <is>
          <t>Dwarvish FantaForm™</t>
        </is>
      </c>
      <c r="B386" s="21" t="inlineStr">
        <is>
          <t>Кибернетика</t>
        </is>
      </c>
      <c r="C386" s="21" t="inlineStr">
        <is>
          <t>BioExotics</t>
        </is>
      </c>
      <c r="D386" s="21" t="inlineStr"/>
      <c r="E386" s="21" t="inlineStr"/>
      <c r="F386" s="31" t="n"/>
      <c r="G386" s="31" t="n"/>
      <c r="H386" s="31" t="n"/>
      <c r="I386" s="31" t="n"/>
      <c r="J386" s="31" t="n">
        <v>0</v>
      </c>
      <c r="K386" s="31" t="n">
        <v>0</v>
      </c>
      <c r="L386" s="31" t="n">
        <v>0</v>
      </c>
      <c r="M386" s="31" t="n">
        <v>12</v>
      </c>
      <c r="N386" s="21" t="inlineStr">
        <is>
          <t>Zoo</t>
        </is>
      </c>
      <c r="O386" s="21" t="inlineStr"/>
      <c r="P386" s="21" t="inlineStr"/>
      <c r="Q386" s="21" t="inlineStr"/>
      <c r="R386" s="40" t="n">
        <v>2100</v>
      </c>
      <c r="S386" s="21" t="inlineStr">
        <is>
          <t>IR2 71</t>
        </is>
      </c>
      <c r="T386" s="21" t="inlineStr">
        <is>
          <t>The heartiest and bravest Dwarves are made at Bioexotics® camp! Like your other FantaForm™ campmates, you’ll enjoy an exclusive LARP! You'll go on a trek through the Blue Mountains with your fellow dwarves. We won’t spoi</t>
        </is>
      </c>
    </row>
    <row r="387">
      <c r="A387" s="21" t="inlineStr">
        <is>
          <t>Elvish FantaForm™</t>
        </is>
      </c>
      <c r="B387" s="21" t="inlineStr">
        <is>
          <t>Кибернетика</t>
        </is>
      </c>
      <c r="C387" s="21" t="inlineStr">
        <is>
          <t>BioExotics</t>
        </is>
      </c>
      <c r="D387" s="21" t="inlineStr"/>
      <c r="E387" s="21" t="inlineStr"/>
      <c r="F387" s="31" t="n"/>
      <c r="G387" s="31" t="n"/>
      <c r="H387" s="31" t="n"/>
      <c r="I387" s="31" t="n"/>
      <c r="J387" s="31" t="n">
        <v>0</v>
      </c>
      <c r="K387" s="31" t="n">
        <v>0</v>
      </c>
      <c r="L387" s="31" t="n">
        <v>0</v>
      </c>
      <c r="M387" s="31" t="n">
        <v>16</v>
      </c>
      <c r="N387" s="21" t="inlineStr">
        <is>
          <t>Zoo</t>
        </is>
      </c>
      <c r="O387" s="21" t="inlineStr"/>
      <c r="P387" s="21" t="inlineStr"/>
      <c r="Q387" s="21" t="inlineStr"/>
      <c r="R387" s="40" t="n">
        <v>2100</v>
      </c>
      <c r="S387" s="21" t="inlineStr">
        <is>
          <t>IR2 71</t>
        </is>
      </c>
      <c r="T387" s="21" t="inlineStr">
        <is>
          <t>You’ve played the hit MMO, now take your Elf Life Offline with Elvish FantaForm™, and live full time as your Elflines Online® character. You’ll enjoy the forest LARP of a Lifetime, and come home a real Elf! Package Conta</t>
        </is>
      </c>
    </row>
    <row r="388">
      <c r="A388" s="21" t="inlineStr">
        <is>
          <t>Embrace Rodentia®</t>
        </is>
      </c>
      <c r="B388" s="21" t="inlineStr">
        <is>
          <t>Кибернетика</t>
        </is>
      </c>
      <c r="C388" s="21" t="inlineStr">
        <is>
          <t>BioExotics</t>
        </is>
      </c>
      <c r="D388" s="21" t="inlineStr"/>
      <c r="E388" s="21" t="inlineStr"/>
      <c r="F388" s="31" t="n"/>
      <c r="G388" s="31" t="n"/>
      <c r="H388" s="31" t="n"/>
      <c r="I388" s="31" t="n"/>
      <c r="J388" s="31" t="n">
        <v>0</v>
      </c>
      <c r="K388" s="31" t="n">
        <v>0</v>
      </c>
      <c r="L388" s="31" t="n">
        <v>0</v>
      </c>
      <c r="M388" s="31" t="n">
        <v>16</v>
      </c>
      <c r="N388" s="21" t="inlineStr">
        <is>
          <t>Zoo</t>
        </is>
      </c>
      <c r="O388" s="21" t="inlineStr"/>
      <c r="P388" s="21" t="inlineStr"/>
      <c r="Q388" s="21" t="inlineStr"/>
      <c r="R388" s="40" t="n">
        <v>2100</v>
      </c>
      <c r="S388" s="21" t="inlineStr">
        <is>
          <t>IR2 67</t>
        </is>
      </c>
      <c r="T388" s="21" t="inlineStr">
        <is>
          <t>You’ve always been a street rat. Better make it official. Embrace Rodentia® is the latest generation of our legendary rodent Bioexotic® that’s been newly remodeled for 2045. It’s our most customizable edition to date, fe</t>
        </is>
      </c>
    </row>
    <row r="389">
      <c r="A389" s="21" t="inlineStr">
        <is>
          <t>KatNip®</t>
        </is>
      </c>
      <c r="B389" s="21" t="inlineStr">
        <is>
          <t>Кибернетика</t>
        </is>
      </c>
      <c r="C389" s="21" t="inlineStr">
        <is>
          <t>BioExotics</t>
        </is>
      </c>
      <c r="D389" s="21" t="inlineStr"/>
      <c r="E389" s="21" t="inlineStr"/>
      <c r="F389" s="31" t="n"/>
      <c r="G389" s="31" t="n"/>
      <c r="H389" s="31" t="n"/>
      <c r="I389" s="31" t="n"/>
      <c r="J389" s="31" t="n">
        <v>0</v>
      </c>
      <c r="K389" s="31" t="n">
        <v>0</v>
      </c>
      <c r="L389" s="31" t="n">
        <v>0</v>
      </c>
      <c r="M389" s="31" t="n">
        <v>18</v>
      </c>
      <c r="N389" s="21" t="inlineStr">
        <is>
          <t>Zoo</t>
        </is>
      </c>
      <c r="O389" s="21" t="inlineStr"/>
      <c r="P389" s="21" t="inlineStr"/>
      <c r="Q389" s="21" t="inlineStr"/>
      <c r="R389" s="40" t="n">
        <v>2200</v>
      </c>
      <c r="S389" s="21" t="inlineStr">
        <is>
          <t>IR2 68</t>
        </is>
      </c>
      <c r="T389" s="21" t="inlineStr">
        <is>
          <t xml:space="preserve">Feeling feline? Maybe a little catty? Don’t settle for just the ears! You want to be able to land like a cat, and no kitty is complete without their claws. Our best-selling Exotic Bodysculpt for 25 years running, you’ll </t>
        </is>
      </c>
    </row>
    <row r="390">
      <c r="A390" s="21" t="inlineStr">
        <is>
          <t>LagoForm®</t>
        </is>
      </c>
      <c r="B390" s="21" t="inlineStr">
        <is>
          <t>Кибернетика</t>
        </is>
      </c>
      <c r="C390" s="21" t="inlineStr">
        <is>
          <t>BioExotics</t>
        </is>
      </c>
      <c r="D390" s="21" t="inlineStr"/>
      <c r="E390" s="21" t="inlineStr"/>
      <c r="F390" s="31" t="n"/>
      <c r="G390" s="31" t="n"/>
      <c r="H390" s="31" t="n"/>
      <c r="I390" s="31" t="n"/>
      <c r="J390" s="31" t="n">
        <v>0</v>
      </c>
      <c r="K390" s="31" t="n">
        <v>0</v>
      </c>
      <c r="L390" s="31" t="n">
        <v>0</v>
      </c>
      <c r="M390" s="31" t="n">
        <v>16</v>
      </c>
      <c r="N390" s="21" t="inlineStr">
        <is>
          <t>Zoo</t>
        </is>
      </c>
      <c r="O390" s="21" t="inlineStr"/>
      <c r="P390" s="21" t="inlineStr"/>
      <c r="Q390" s="21" t="inlineStr"/>
      <c r="R390" s="40" t="n">
        <v>2100</v>
      </c>
      <c r="S390" s="21" t="inlineStr">
        <is>
          <t>IR2 68</t>
        </is>
      </c>
      <c r="T390" s="21" t="inlineStr">
        <is>
          <t>Be your own good luck charm! Hop on over to Bioexotics® Camp and discover a whole new you. LagoForm® uses only premium Rocklin Augmentics Jump Boosters which are sure to put a spring in your step. Fluffy tail optional. P</t>
        </is>
      </c>
    </row>
    <row r="391">
      <c r="A391" s="21" t="inlineStr">
        <is>
          <t>LupaForm®</t>
        </is>
      </c>
      <c r="B391" s="21" t="inlineStr">
        <is>
          <t>Кибернетика</t>
        </is>
      </c>
      <c r="C391" s="21" t="inlineStr">
        <is>
          <t>BioExotics</t>
        </is>
      </c>
      <c r="D391" s="21" t="inlineStr"/>
      <c r="E391" s="21" t="inlineStr"/>
      <c r="F391" s="31" t="n"/>
      <c r="G391" s="31" t="n"/>
      <c r="H391" s="31" t="n"/>
      <c r="I391" s="31" t="n"/>
      <c r="J391" s="31" t="n">
        <v>0</v>
      </c>
      <c r="K391" s="31" t="n">
        <v>0</v>
      </c>
      <c r="L391" s="31" t="n">
        <v>0</v>
      </c>
      <c r="M391" s="31" t="n">
        <v>20</v>
      </c>
      <c r="N391" s="21" t="inlineStr">
        <is>
          <t>Zoo</t>
        </is>
      </c>
      <c r="O391" s="21" t="inlineStr"/>
      <c r="P391" s="21" t="inlineStr"/>
      <c r="Q391" s="21" t="inlineStr"/>
      <c r="R391" s="40" t="n">
        <v>2200</v>
      </c>
      <c r="S391" s="21" t="inlineStr">
        <is>
          <t>IR2 68</t>
        </is>
      </c>
      <c r="T391" s="21" t="inlineStr">
        <is>
          <t>Not everyone is a cat person, but there’s a big difference between being a dog person and being a dog person. For 25 years, LupaForm® has been the Exotic Package trusted by dog people to keep their allegiance clear. It’s</t>
        </is>
      </c>
    </row>
    <row r="392">
      <c r="A392" s="21" t="inlineStr">
        <is>
          <t>Merish FantaForm™</t>
        </is>
      </c>
      <c r="B392" s="21" t="inlineStr">
        <is>
          <t>Кибернетика</t>
        </is>
      </c>
      <c r="C392" s="21" t="inlineStr">
        <is>
          <t>BioExotics</t>
        </is>
      </c>
      <c r="D392" s="21" t="inlineStr"/>
      <c r="E392" s="21" t="inlineStr"/>
      <c r="F392" s="31" t="n"/>
      <c r="G392" s="31" t="n"/>
      <c r="H392" s="31" t="n"/>
      <c r="I392" s="31" t="n"/>
      <c r="J392" s="31" t="n">
        <v>0</v>
      </c>
      <c r="K392" s="31" t="n">
        <v>0</v>
      </c>
      <c r="L392" s="31" t="n">
        <v>0</v>
      </c>
      <c r="M392" s="31" t="n">
        <v>24</v>
      </c>
      <c r="N392" s="21" t="inlineStr">
        <is>
          <t>Zoo</t>
        </is>
      </c>
      <c r="O392" s="21" t="inlineStr"/>
      <c r="P392" s="21" t="inlineStr"/>
      <c r="Q392" s="21" t="inlineStr"/>
      <c r="R392" s="40" t="n">
        <v>3600</v>
      </c>
      <c r="S392" s="21" t="inlineStr">
        <is>
          <t>IR2 71</t>
        </is>
      </c>
      <c r="T392" s="21" t="inlineStr">
        <is>
          <t>Are you just as at home under the waves just as you are on land? The Merish FantaForm™ is for you. Spend a whole month underwater off the coast of Oregon in Biotechnica’s LARPlantis, getting used to your new body alongsi</t>
        </is>
      </c>
    </row>
    <row r="393">
      <c r="A393" s="21" t="inlineStr">
        <is>
          <t>NeuHuman™</t>
        </is>
      </c>
      <c r="B393" s="21" t="inlineStr">
        <is>
          <t>Кибернетика</t>
        </is>
      </c>
      <c r="C393" s="21" t="inlineStr">
        <is>
          <t>BioExotics</t>
        </is>
      </c>
      <c r="D393" s="21" t="inlineStr"/>
      <c r="E393" s="21" t="inlineStr"/>
      <c r="F393" s="31" t="n"/>
      <c r="G393" s="31" t="n"/>
      <c r="H393" s="31" t="n"/>
      <c r="I393" s="31" t="n"/>
      <c r="J393" s="31" t="n">
        <v>0</v>
      </c>
      <c r="K393" s="31" t="n">
        <v>0</v>
      </c>
      <c r="L393" s="31" t="n">
        <v>0</v>
      </c>
      <c r="M393" s="31" t="n">
        <v>32</v>
      </c>
      <c r="N393" s="21" t="inlineStr">
        <is>
          <t>Zoo</t>
        </is>
      </c>
      <c r="O393" s="21" t="inlineStr"/>
      <c r="P393" s="21" t="inlineStr"/>
      <c r="Q393" s="21" t="inlineStr"/>
      <c r="R393" s="40" t="n">
        <v>4000</v>
      </c>
      <c r="S393" s="21" t="inlineStr">
        <is>
          <t>IR2 70</t>
        </is>
      </c>
      <c r="T393" s="21" t="inlineStr">
        <is>
          <t>Embrace the Neu. The NeuHuman™ is your form perfected, defended, and confident. Become the perfect you with a custom made NeuHuman™ Bodysculpt from Biotechnica. You’ll come home turning heads, ready to take action on the</t>
        </is>
      </c>
    </row>
    <row r="394">
      <c r="A394" s="21" t="inlineStr">
        <is>
          <t>Ogrish FantaForm™</t>
        </is>
      </c>
      <c r="B394" s="21" t="inlineStr">
        <is>
          <t>Кибернетика</t>
        </is>
      </c>
      <c r="C394" s="21" t="inlineStr">
        <is>
          <t>BioExotics</t>
        </is>
      </c>
      <c r="D394" s="21" t="inlineStr"/>
      <c r="E394" s="21" t="inlineStr"/>
      <c r="F394" s="31" t="n"/>
      <c r="G394" s="31" t="n"/>
      <c r="H394" s="31" t="n"/>
      <c r="I394" s="31" t="n"/>
      <c r="J394" s="31" t="n">
        <v>0</v>
      </c>
      <c r="K394" s="31" t="n">
        <v>0</v>
      </c>
      <c r="L394" s="31" t="n">
        <v>0</v>
      </c>
      <c r="M394" s="31" t="n">
        <v>12</v>
      </c>
      <c r="N394" s="21" t="inlineStr">
        <is>
          <t>Zoo</t>
        </is>
      </c>
      <c r="O394" s="21" t="inlineStr"/>
      <c r="P394" s="21" t="inlineStr"/>
      <c r="Q394" s="21" t="inlineStr"/>
      <c r="R394" s="40" t="n">
        <v>4000</v>
      </c>
      <c r="S394" s="21" t="inlineStr">
        <is>
          <t>IR2 71</t>
        </is>
      </c>
      <c r="T394" s="21" t="inlineStr">
        <is>
          <t xml:space="preserve">You’ll feel invincible in your new Ogrish FantaForm™ by Biotechnica, with the same military grade Pain Editor that Militech trusts. During Bioexotics® camp, you’ll be trained to lead Orcish Fantaform™ soldiers in a LARP </t>
        </is>
      </c>
    </row>
    <row r="395">
      <c r="A395" s="21" t="inlineStr">
        <is>
          <t>Orcish FantaForm™</t>
        </is>
      </c>
      <c r="B395" s="21" t="inlineStr">
        <is>
          <t>Кибернетика</t>
        </is>
      </c>
      <c r="C395" s="21" t="inlineStr">
        <is>
          <t>BioExotics</t>
        </is>
      </c>
      <c r="D395" s="21" t="inlineStr"/>
      <c r="E395" s="21" t="inlineStr"/>
      <c r="F395" s="31" t="n"/>
      <c r="G395" s="31" t="n"/>
      <c r="H395" s="31" t="n"/>
      <c r="I395" s="31" t="n"/>
      <c r="J395" s="31" t="n">
        <v>0</v>
      </c>
      <c r="K395" s="31" t="n">
        <v>0</v>
      </c>
      <c r="L395" s="31" t="n">
        <v>0</v>
      </c>
      <c r="M395" s="31" t="n">
        <v>12</v>
      </c>
      <c r="N395" s="21" t="inlineStr">
        <is>
          <t>Zoo</t>
        </is>
      </c>
      <c r="O395" s="21" t="inlineStr"/>
      <c r="P395" s="21" t="inlineStr"/>
      <c r="Q395" s="21" t="inlineStr"/>
      <c r="R395" s="40" t="n">
        <v>2500</v>
      </c>
      <c r="S395" s="21" t="inlineStr">
        <is>
          <t>IR2 71</t>
        </is>
      </c>
      <c r="T395" s="21" t="inlineStr">
        <is>
          <t>Do you crave blood and battle? At Bioexotics® camp, you’ll become forged in the heat of war and death alongside your Ogrish campmates in a martial campaign Live Action Roleplaying adventure against an enemy force of body</t>
        </is>
      </c>
    </row>
    <row r="396">
      <c r="A396" s="21" t="inlineStr">
        <is>
          <t>Serpentize Yourself®</t>
        </is>
      </c>
      <c r="B396" s="21" t="inlineStr">
        <is>
          <t>Кибернетика</t>
        </is>
      </c>
      <c r="C396" s="21" t="inlineStr">
        <is>
          <t>BioExotics</t>
        </is>
      </c>
      <c r="D396" s="21" t="inlineStr"/>
      <c r="E396" s="21" t="inlineStr"/>
      <c r="F396" s="31" t="n"/>
      <c r="G396" s="31" t="n"/>
      <c r="H396" s="31" t="n"/>
      <c r="I396" s="31" t="n"/>
      <c r="J396" s="31" t="n">
        <v>0</v>
      </c>
      <c r="K396" s="31" t="n">
        <v>0</v>
      </c>
      <c r="L396" s="31" t="n">
        <v>0</v>
      </c>
      <c r="M396" s="31" t="n">
        <v>16</v>
      </c>
      <c r="N396" s="21" t="inlineStr">
        <is>
          <t>Zoo</t>
        </is>
      </c>
      <c r="O396" s="21" t="inlineStr"/>
      <c r="P396" s="21" t="inlineStr"/>
      <c r="Q396" s="21" t="inlineStr"/>
      <c r="R396" s="40" t="n">
        <v>2100</v>
      </c>
      <c r="S396" s="21" t="inlineStr">
        <is>
          <t>IR2 68</t>
        </is>
      </c>
      <c r="T396" s="21" t="inlineStr">
        <is>
          <t>Do you find mammals unappealing? Do your veins run cold? The 25th anniversary edition of Serpentize Yourself® is Biotechnica’s most seductive snake form to date! Get your tongue forked today and become a true champion of</t>
        </is>
      </c>
    </row>
    <row r="397">
      <c r="A397" s="21" t="inlineStr">
        <is>
          <t>UrsaForm®</t>
        </is>
      </c>
      <c r="B397" s="21" t="inlineStr">
        <is>
          <t>Кибернетика</t>
        </is>
      </c>
      <c r="C397" s="21" t="inlineStr">
        <is>
          <t>BioExotics</t>
        </is>
      </c>
      <c r="D397" s="21" t="inlineStr"/>
      <c r="E397" s="21" t="inlineStr"/>
      <c r="F397" s="31" t="n"/>
      <c r="G397" s="31" t="n"/>
      <c r="H397" s="31" t="n"/>
      <c r="I397" s="31" t="n"/>
      <c r="J397" s="31" t="n">
        <v>0</v>
      </c>
      <c r="K397" s="31" t="n">
        <v>0</v>
      </c>
      <c r="L397" s="31" t="n">
        <v>0</v>
      </c>
      <c r="M397" s="31" t="n">
        <v>52</v>
      </c>
      <c r="N397" s="21" t="inlineStr">
        <is>
          <t>Zoo</t>
        </is>
      </c>
      <c r="O397" s="21" t="inlineStr"/>
      <c r="P397" s="21" t="inlineStr"/>
      <c r="Q397" s="21" t="inlineStr"/>
      <c r="R397" s="40" t="n">
        <v>8200</v>
      </c>
      <c r="S397" s="21" t="inlineStr">
        <is>
          <t>IR2 70</t>
        </is>
      </c>
      <c r="T397" s="21" t="inlineStr">
        <is>
          <t>Biotechnica’s most enhanced Bioexotic® to date, UrsaForm® is the pride and joy of our research division, and is ready to change your life in a beary good way. A psychological evaluation is provided with every UrsaForm® p</t>
        </is>
      </c>
    </row>
    <row r="398">
      <c r="A398" s="21" t="inlineStr">
        <is>
          <t>Borgware Hardened Shielding</t>
        </is>
      </c>
      <c r="B398" s="21" t="inlineStr">
        <is>
          <t>Кибернетика</t>
        </is>
      </c>
      <c r="C398" s="21" t="inlineStr">
        <is>
          <t>Borgware</t>
        </is>
      </c>
      <c r="D398" s="21" t="inlineStr"/>
      <c r="E398" s="21" t="inlineStr"/>
      <c r="F398" s="31" t="n"/>
      <c r="G398" s="31" t="n"/>
      <c r="H398" s="31" t="n"/>
      <c r="I398" s="31" t="n"/>
      <c r="J398" s="31" t="n">
        <v>0</v>
      </c>
      <c r="K398" s="31" t="n">
        <v>0</v>
      </c>
      <c r="L398" s="31" t="n">
        <v>0</v>
      </c>
      <c r="M398" s="31" t="n">
        <v>14</v>
      </c>
      <c r="N398" s="21" t="inlineStr">
        <is>
          <t>Hospital</t>
        </is>
      </c>
      <c r="O398" s="21" t="inlineStr"/>
      <c r="P398" s="21" t="inlineStr"/>
      <c r="Q398" s="21" t="inlineStr"/>
      <c r="R398" s="40" t="n">
        <v>1000</v>
      </c>
      <c r="S398" s="21" t="inlineStr">
        <is>
          <t>BC 17</t>
        </is>
      </c>
      <c r="T398" s="21" t="inlineStr">
        <is>
          <t>You won’t look like a badass when someone shuts down your Linear Frame with a microwaver, will you? That’s why you need to install one of these babies and make sure your chrome doesn’t die when you need it most. Borgware</t>
        </is>
      </c>
    </row>
    <row r="399">
      <c r="A399" s="21" t="inlineStr">
        <is>
          <t>Internal Fūma Kotarō L Frame</t>
        </is>
      </c>
      <c r="B399" s="21" t="inlineStr">
        <is>
          <t>Кибернетика</t>
        </is>
      </c>
      <c r="C399" s="21" t="inlineStr">
        <is>
          <t>Borgware</t>
        </is>
      </c>
      <c r="D399" s="21" t="inlineStr"/>
      <c r="E399" s="21" t="inlineStr"/>
      <c r="F399" s="31" t="n"/>
      <c r="G399" s="31" t="n"/>
      <c r="H399" s="31" t="n"/>
      <c r="I399" s="31" t="n"/>
      <c r="J399" s="31" t="n">
        <v>0</v>
      </c>
      <c r="K399" s="31" t="n">
        <v>0</v>
      </c>
      <c r="L399" s="31" t="n">
        <v>0</v>
      </c>
      <c r="M399" s="31" t="n">
        <v>14</v>
      </c>
      <c r="N399" s="21" t="inlineStr">
        <is>
          <t>Hospital</t>
        </is>
      </c>
      <c r="O399" s="21" t="inlineStr"/>
      <c r="P399" s="21" t="inlineStr"/>
      <c r="Q399" s="21" t="inlineStr"/>
      <c r="R399" s="40" t="n">
        <v>5000</v>
      </c>
      <c r="S399" s="21" t="inlineStr">
        <is>
          <t>BC 52</t>
        </is>
      </c>
      <c r="T399" s="21" t="inlineStr">
        <is>
          <t>This linear frame can be purchased as either external or internal. In either form, while connected properly to the frame, the user increases their BODY to 12 and their Stealth Skill Checks by +2. The user can draw or she</t>
        </is>
      </c>
    </row>
    <row r="400">
      <c r="A400" s="21" t="inlineStr">
        <is>
          <t>Internal LF-001 SWAT L Frame</t>
        </is>
      </c>
      <c r="B400" s="21" t="inlineStr">
        <is>
          <t>Кибернетика</t>
        </is>
      </c>
      <c r="C400" s="21" t="inlineStr">
        <is>
          <t>Borgware</t>
        </is>
      </c>
      <c r="D400" s="21" t="inlineStr"/>
      <c r="E400" s="21" t="inlineStr"/>
      <c r="F400" s="31" t="n"/>
      <c r="G400" s="31" t="n"/>
      <c r="H400" s="31" t="n"/>
      <c r="I400" s="31" t="n"/>
      <c r="J400" s="31" t="n">
        <v>0</v>
      </c>
      <c r="K400" s="31" t="n">
        <v>0</v>
      </c>
      <c r="L400" s="31" t="n">
        <v>0</v>
      </c>
      <c r="M400" s="31" t="n">
        <v>14</v>
      </c>
      <c r="N400" s="21" t="inlineStr">
        <is>
          <t>Hospital</t>
        </is>
      </c>
      <c r="O400" s="21" t="inlineStr"/>
      <c r="P400" s="21" t="inlineStr"/>
      <c r="Q400" s="21" t="inlineStr"/>
      <c r="R400" s="40" t="n">
        <v>5000</v>
      </c>
      <c r="S400" s="21" t="inlineStr">
        <is>
          <t>BC 53</t>
        </is>
      </c>
      <c r="T400" s="21" t="inlineStr">
        <is>
          <t>This linear frame can be purchased as either external or internal. In either form, while connected properly to the frame, the user increases their BODY to 12, and negates the normal movement penalty for climbing and swim</t>
        </is>
      </c>
    </row>
    <row r="401">
      <c r="A401" s="21" t="inlineStr">
        <is>
          <t>Internal Vermilion L Frame</t>
        </is>
      </c>
      <c r="B401" s="21" t="inlineStr">
        <is>
          <t>Кибернетика</t>
        </is>
      </c>
      <c r="C401" s="21" t="inlineStr">
        <is>
          <t>Borgware</t>
        </is>
      </c>
      <c r="D401" s="21" t="inlineStr"/>
      <c r="E401" s="21" t="inlineStr"/>
      <c r="F401" s="31" t="n"/>
      <c r="G401" s="31" t="n"/>
      <c r="H401" s="31" t="n"/>
      <c r="I401" s="31" t="n"/>
      <c r="J401" s="31" t="n">
        <v>0</v>
      </c>
      <c r="K401" s="31" t="n">
        <v>0</v>
      </c>
      <c r="L401" s="31" t="n">
        <v>0</v>
      </c>
      <c r="M401" s="31" t="n">
        <v>14</v>
      </c>
      <c r="N401" s="21" t="inlineStr">
        <is>
          <t>Hospital</t>
        </is>
      </c>
      <c r="O401" s="21" t="inlineStr"/>
      <c r="P401" s="21" t="inlineStr"/>
      <c r="Q401" s="21" t="inlineStr"/>
      <c r="R401" s="40" t="n">
        <v>5000</v>
      </c>
      <c r="S401" s="21" t="inlineStr">
        <is>
          <t>BC 54</t>
        </is>
      </c>
      <c r="T401" s="21" t="inlineStr">
        <is>
          <t>This linear frame can be purchased as either external or internal. In either form, while connected properly to the frame, the user increases their BODY to 12, the user negates the normal movement penalty for jumping, and</t>
        </is>
      </c>
    </row>
    <row r="402">
      <c r="A402" s="21" t="inlineStr">
        <is>
          <t>Artificial Shoulder Mount</t>
        </is>
      </c>
      <c r="B402" s="21" t="inlineStr">
        <is>
          <t>Кибернетика</t>
        </is>
      </c>
      <c r="C402" s="21" t="inlineStr">
        <is>
          <t>Borgware</t>
        </is>
      </c>
      <c r="D402" s="21" t="inlineStr"/>
      <c r="E402" s="21" t="inlineStr"/>
      <c r="F402" s="31" t="n"/>
      <c r="G402" s="31" t="n"/>
      <c r="H402" s="31" t="n"/>
      <c r="I402" s="31" t="n"/>
      <c r="J402" s="31" t="n">
        <v>0</v>
      </c>
      <c r="K402" s="31" t="n">
        <v>0</v>
      </c>
      <c r="L402" s="31" t="n">
        <v>0</v>
      </c>
      <c r="M402" s="31" t="n">
        <v>14</v>
      </c>
      <c r="N402" s="21" t="inlineStr">
        <is>
          <t>Hospital</t>
        </is>
      </c>
      <c r="O402" s="21" t="inlineStr"/>
      <c r="P402" s="21" t="inlineStr"/>
      <c r="Q402" s="21" t="inlineStr"/>
      <c r="R402" s="40" t="n">
        <v>1000</v>
      </c>
      <c r="S402" s="21" t="inlineStr">
        <is>
          <t>CP:R 367</t>
        </is>
      </c>
      <c r="T402" s="21" t="inlineStr">
        <is>
          <t>User can mount 2 Cyberarms under first set of arms. User can only have one Artificial Shoulder Mount installed.</t>
        </is>
      </c>
    </row>
    <row r="403">
      <c r="A403" s="21" t="inlineStr">
        <is>
          <t>Internal L Frame ∑ (Sigma)</t>
        </is>
      </c>
      <c r="B403" s="21" t="inlineStr">
        <is>
          <t>Кибернетика</t>
        </is>
      </c>
      <c r="C403" s="21" t="inlineStr">
        <is>
          <t>Borgware</t>
        </is>
      </c>
      <c r="D403" s="21" t="inlineStr"/>
      <c r="E403" s="21" t="inlineStr"/>
      <c r="F403" s="31" t="n"/>
      <c r="G403" s="31" t="n"/>
      <c r="H403" s="31" t="n"/>
      <c r="I403" s="31" t="n"/>
      <c r="J403" s="31" t="n">
        <v>0</v>
      </c>
      <c r="K403" s="31" t="n">
        <v>0</v>
      </c>
      <c r="L403" s="31" t="n">
        <v>0</v>
      </c>
      <c r="M403" s="31" t="n">
        <v>14</v>
      </c>
      <c r="N403" s="21" t="inlineStr">
        <is>
          <t>Hospital</t>
        </is>
      </c>
      <c r="O403" s="21" t="inlineStr"/>
      <c r="P403" s="21" t="inlineStr"/>
      <c r="Q403" s="21" t="inlineStr"/>
      <c r="R403" s="40" t="n">
        <v>1000</v>
      </c>
      <c r="S403" s="21" t="inlineStr">
        <is>
          <t>CP:R 367</t>
        </is>
      </c>
      <c r="T403" s="21" t="inlineStr">
        <is>
          <t xml:space="preserve">An enhanced skeleton and support structure with hydraulic and myomar muscles. • User increases their BODY to 12. • This increase in BODY changes a Character's HP and Death Save. • This cannot increase the user's BODY to </t>
        </is>
      </c>
    </row>
    <row r="404">
      <c r="A404" s="21" t="inlineStr">
        <is>
          <t>MultiOptic Mount</t>
        </is>
      </c>
      <c r="B404" s="21" t="inlineStr">
        <is>
          <t>Кибернетика</t>
        </is>
      </c>
      <c r="C404" s="21" t="inlineStr">
        <is>
          <t>Borgware</t>
        </is>
      </c>
      <c r="D404" s="21" t="inlineStr"/>
      <c r="E404" s="21" t="inlineStr"/>
      <c r="F404" s="31" t="n"/>
      <c r="G404" s="31" t="n"/>
      <c r="H404" s="31" t="n"/>
      <c r="I404" s="31" t="n"/>
      <c r="J404" s="31" t="n">
        <v>0</v>
      </c>
      <c r="K404" s="31" t="n">
        <v>0</v>
      </c>
      <c r="L404" s="31" t="n">
        <v>0</v>
      </c>
      <c r="M404" s="31" t="n">
        <v>14</v>
      </c>
      <c r="N404" s="21" t="inlineStr">
        <is>
          <t>Hospital</t>
        </is>
      </c>
      <c r="O404" s="21" t="inlineStr"/>
      <c r="P404" s="21" t="inlineStr"/>
      <c r="Q404" s="21" t="inlineStr"/>
      <c r="R404" s="40" t="n">
        <v>1000</v>
      </c>
      <c r="S404" s="21" t="inlineStr">
        <is>
          <t>CP:R 367</t>
        </is>
      </c>
      <c r="T404" s="21" t="inlineStr">
        <is>
          <t>User can mount up to 5 additional Cybereyes into the MultiOptic Mount. Cybereyes sold and installed separately. User can only have one MultiOptic Mount installed.</t>
        </is>
      </c>
    </row>
    <row r="405">
      <c r="A405" s="21" t="inlineStr">
        <is>
          <t>Sensor Array</t>
        </is>
      </c>
      <c r="B405" s="21" t="inlineStr">
        <is>
          <t>Кибернетика</t>
        </is>
      </c>
      <c r="C405" s="21" t="inlineStr">
        <is>
          <t>Borgware</t>
        </is>
      </c>
      <c r="D405" s="21" t="inlineStr"/>
      <c r="E405" s="21" t="inlineStr"/>
      <c r="F405" s="31" t="n"/>
      <c r="G405" s="31" t="n"/>
      <c r="H405" s="31" t="n"/>
      <c r="I405" s="31" t="n"/>
      <c r="J405" s="31" t="n">
        <v>0</v>
      </c>
      <c r="K405" s="31" t="n">
        <v>0</v>
      </c>
      <c r="L405" s="31" t="n">
        <v>0</v>
      </c>
      <c r="M405" s="31" t="n">
        <v>14</v>
      </c>
      <c r="N405" s="21" t="inlineStr">
        <is>
          <t>Clinic</t>
        </is>
      </c>
      <c r="O405" s="21" t="inlineStr"/>
      <c r="P405" s="21" t="inlineStr"/>
      <c r="Q405" s="21" t="inlineStr"/>
      <c r="R405" s="40" t="n">
        <v>1000</v>
      </c>
      <c r="S405" s="21" t="inlineStr">
        <is>
          <t>CP:R 367</t>
        </is>
      </c>
      <c r="T405" s="21" t="inlineStr">
        <is>
          <t>Twin flattened antennae protruding from the user's head improving their Cyberaudio Suite, sometimes referred to as "Rabbit Ears." User can install up to 5 additional Cyberaudio Options into their Cyberaudio Suite. User c</t>
        </is>
      </c>
    </row>
    <row r="406">
      <c r="A406" s="21" t="inlineStr">
        <is>
          <t>Internal L Frame ß (Beta)</t>
        </is>
      </c>
      <c r="B406" s="21" t="inlineStr">
        <is>
          <t>Кибернетика</t>
        </is>
      </c>
      <c r="C406" s="21" t="inlineStr">
        <is>
          <t>Borgware</t>
        </is>
      </c>
      <c r="D406" s="21" t="inlineStr"/>
      <c r="E406" s="21" t="inlineStr"/>
      <c r="F406" s="31" t="n"/>
      <c r="G406" s="31" t="n"/>
      <c r="H406" s="31" t="n"/>
      <c r="I406" s="31" t="n"/>
      <c r="J406" s="31" t="n">
        <v>0</v>
      </c>
      <c r="K406" s="31" t="n">
        <v>0</v>
      </c>
      <c r="L406" s="31" t="n">
        <v>0</v>
      </c>
      <c r="M406" s="31" t="n">
        <v>14</v>
      </c>
      <c r="N406" s="21" t="inlineStr">
        <is>
          <t>Hospital</t>
        </is>
      </c>
      <c r="O406" s="21" t="inlineStr"/>
      <c r="P406" s="21" t="inlineStr"/>
      <c r="Q406" s="21" t="inlineStr"/>
      <c r="R406" s="40" t="n">
        <v>5000</v>
      </c>
      <c r="S406" s="21" t="inlineStr">
        <is>
          <t>CP:R 367</t>
        </is>
      </c>
      <c r="T406" s="21" t="inlineStr">
        <is>
          <t>A heavily enhanced skeleton and support structure with even more hydraulic and myomar muscles. • User increases their BODY to 14. • This increase in BODY changes a Character's HP and Death Save. • This cannot increase th</t>
        </is>
      </c>
    </row>
    <row r="407">
      <c r="A407" s="21" t="inlineStr">
        <is>
          <t>Biosystem</t>
        </is>
      </c>
      <c r="B407" s="21" t="inlineStr">
        <is>
          <t>Кибернетика</t>
        </is>
      </c>
      <c r="C407" s="21" t="inlineStr">
        <is>
          <t>Borgware</t>
        </is>
      </c>
      <c r="D407" s="21" t="inlineStr"/>
      <c r="E407" s="21" t="inlineStr"/>
      <c r="F407" s="31" t="n"/>
      <c r="G407" s="31" t="n"/>
      <c r="H407" s="31" t="n"/>
      <c r="I407" s="31" t="n"/>
      <c r="J407" s="31" t="n">
        <v>0</v>
      </c>
      <c r="K407" s="31" t="n">
        <v>0</v>
      </c>
      <c r="L407" s="31" t="n">
        <v>0</v>
      </c>
      <c r="M407" s="31" t="n">
        <v>14</v>
      </c>
      <c r="N407" s="21" t="inlineStr">
        <is>
          <t>Hospital</t>
        </is>
      </c>
      <c r="O407" s="21" t="inlineStr"/>
      <c r="P407" s="21" t="inlineStr"/>
      <c r="Q407" s="21" t="inlineStr"/>
      <c r="R407" s="40" t="n">
        <v>10000</v>
      </c>
      <c r="S407" s="21" t="inlineStr">
        <is>
          <t>IR3 104</t>
        </is>
      </c>
      <c r="T407" s="21" t="inlineStr">
        <is>
          <t>A revolution in human-machine interface and an upgrade in FBC integration design! A step up from the systems of the past, Biosystems contain not only the brain (and other choice bits) in an integrated Biopod but a full s</t>
        </is>
      </c>
    </row>
    <row r="408">
      <c r="A408" s="21" t="inlineStr">
        <is>
          <t>Internal Linear Frame Ω (Omega)</t>
        </is>
      </c>
      <c r="B408" s="21" t="inlineStr">
        <is>
          <t>Кибернетика</t>
        </is>
      </c>
      <c r="C408" s="21" t="inlineStr">
        <is>
          <t>Borgware</t>
        </is>
      </c>
      <c r="D408" s="21" t="inlineStr"/>
      <c r="E408" s="21" t="inlineStr"/>
      <c r="F408" s="31" t="n"/>
      <c r="G408" s="31" t="n"/>
      <c r="H408" s="31" t="n"/>
      <c r="I408" s="31" t="n"/>
      <c r="J408" s="31" t="n">
        <v>0</v>
      </c>
      <c r="K408" s="31" t="n">
        <v>0</v>
      </c>
      <c r="L408" s="31" t="n">
        <v>0</v>
      </c>
      <c r="M408" s="31" t="n">
        <v>28</v>
      </c>
      <c r="N408" s="21" t="inlineStr">
        <is>
          <t>Hospital</t>
        </is>
      </c>
      <c r="O408" s="21" t="inlineStr"/>
      <c r="P408" s="21" t="inlineStr"/>
      <c r="Q408" s="21" t="inlineStr"/>
      <c r="R408" s="40" t="n">
        <v>10000</v>
      </c>
      <c r="S408" s="21" t="inlineStr">
        <is>
          <t>IR3 108 · IR5 143</t>
        </is>
      </c>
      <c r="T408" s="21" t="inlineStr">
        <is>
          <t xml:space="preserve">A perfected cybernetic endoskeleton enhanced further by hydraulic and myomar muscles. Borgware. User increases their BODY to 16. This cannot increase their BODY to 17 or higher. This increase in BODY changes a user’s HP </t>
        </is>
      </c>
    </row>
    <row r="409">
      <c r="A409" s="21" t="inlineStr">
        <is>
          <t>Modular Finger Enthusiast Hand</t>
        </is>
      </c>
      <c r="B409" s="21" t="inlineStr">
        <is>
          <t>Кибернетика</t>
        </is>
      </c>
      <c r="C409" s="21" t="inlineStr">
        <is>
          <t>Borgware · Cyberlimbs</t>
        </is>
      </c>
      <c r="D409" s="21" t="inlineStr"/>
      <c r="E409" s="21" t="inlineStr"/>
      <c r="F409" s="31" t="n"/>
      <c r="G409" s="31" t="n"/>
      <c r="H409" s="31" t="n"/>
      <c r="I409" s="31" t="n"/>
      <c r="J409" s="31" t="n">
        <v>0</v>
      </c>
      <c r="K409" s="31" t="n">
        <v>0</v>
      </c>
      <c r="L409" s="31" t="n">
        <v>0</v>
      </c>
      <c r="M409" s="31" t="n">
        <v>14</v>
      </c>
      <c r="N409" s="21" t="inlineStr">
        <is>
          <t>Hospital</t>
        </is>
      </c>
      <c r="O409" s="21" t="inlineStr"/>
      <c r="P409" s="21" t="inlineStr"/>
      <c r="Q409" s="21" t="inlineStr"/>
      <c r="R409" s="40" t="n">
        <v>500</v>
      </c>
      <c r="S409" s="21" t="inlineStr">
        <is>
          <t>BC 18</t>
        </is>
      </c>
      <c r="T409" s="21" t="inlineStr">
        <is>
          <t>When you love your Cyberfingers, picking and choosing which to install can be agony. But don’t worry! With the latest in Dynalar cybernetic technology you can bypass mortal limits and dial your cyberfingers straight up t</t>
        </is>
      </c>
    </row>
    <row r="410">
      <c r="A410" s="21" t="inlineStr">
        <is>
          <t>Cyclops Int Bug Eye</t>
        </is>
      </c>
      <c r="B410" s="21" t="inlineStr">
        <is>
          <t>Кибернетика</t>
        </is>
      </c>
      <c r="C410" s="21" t="inlineStr">
        <is>
          <t>Borgware · Cyberoptics</t>
        </is>
      </c>
      <c r="D410" s="21" t="inlineStr"/>
      <c r="E410" s="21" t="inlineStr"/>
      <c r="F410" s="31" t="n"/>
      <c r="G410" s="31" t="n"/>
      <c r="H410" s="31" t="n"/>
      <c r="I410" s="31" t="n"/>
      <c r="J410" s="31" t="n">
        <v>0</v>
      </c>
      <c r="K410" s="31" t="n">
        <v>0</v>
      </c>
      <c r="L410" s="31" t="n">
        <v>0</v>
      </c>
      <c r="M410" s="31" t="n">
        <v>14</v>
      </c>
      <c r="N410" s="21" t="inlineStr">
        <is>
          <t>Hospital</t>
        </is>
      </c>
      <c r="O410" s="21" t="inlineStr"/>
      <c r="P410" s="21" t="inlineStr"/>
      <c r="Q410" s="21" t="inlineStr"/>
      <c r="R410" s="40" t="n">
        <v>500</v>
      </c>
      <c r="S410" s="21" t="inlineStr">
        <is>
          <t>DL:12Cy 3 · IR3 85</t>
        </is>
      </c>
      <c r="T410" s="21" t="inlineStr">
        <is>
          <t>Want a cool look loaded with cyberoptic option potential? Then the Cyclops International Bug Eye is for you! This stylish oversized cybereye comes in a variety of appearances, including smooth Chrome Dometastic, gorgeous</t>
        </is>
      </c>
    </row>
    <row r="411">
      <c r="A411" s="21" t="inlineStr">
        <is>
          <t>Kiroshi MonoVision</t>
        </is>
      </c>
      <c r="B411" s="21" t="inlineStr">
        <is>
          <t>Кибернетика</t>
        </is>
      </c>
      <c r="C411" s="21" t="inlineStr">
        <is>
          <t>Borgware · Cyberoptics</t>
        </is>
      </c>
      <c r="D411" s="21" t="inlineStr"/>
      <c r="E411" s="21" t="inlineStr"/>
      <c r="F411" s="31" t="n"/>
      <c r="G411" s="31" t="n"/>
      <c r="H411" s="31" t="n"/>
      <c r="I411" s="31" t="n"/>
      <c r="J411" s="31" t="n">
        <v>0</v>
      </c>
      <c r="K411" s="31" t="n">
        <v>0</v>
      </c>
      <c r="L411" s="31" t="n">
        <v>0</v>
      </c>
      <c r="M411" s="31" t="n">
        <v>14</v>
      </c>
      <c r="N411" s="21" t="inlineStr">
        <is>
          <t>Hospital</t>
        </is>
      </c>
      <c r="O411" s="21" t="inlineStr"/>
      <c r="P411" s="21" t="inlineStr"/>
      <c r="Q411" s="21" t="inlineStr"/>
      <c r="R411" s="40" t="n">
        <v>500</v>
      </c>
      <c r="S411" s="21" t="inlineStr">
        <is>
          <t>DL:12Cy 3 · IR3 85 &amp; 108</t>
        </is>
      </c>
      <c r="T411" s="21" t="inlineStr">
        <is>
          <t>Tired of having to pair your cyberoptics in two boring ceramic, metal, and plastic orbs? Well, never fear! The Kiroshi MonoVision replaces your entire optic ridge and both eye sockets with a single, wide-angle cyberoptic</t>
        </is>
      </c>
    </row>
    <row r="412">
      <c r="A412" s="21" t="inlineStr">
        <is>
          <t>Dragoon Plating</t>
        </is>
      </c>
      <c r="B412" s="21" t="inlineStr">
        <is>
          <t>Кибернетика</t>
        </is>
      </c>
      <c r="C412" s="21" t="inlineStr">
        <is>
          <t>Borgware · External</t>
        </is>
      </c>
      <c r="D412" s="21" t="inlineStr"/>
      <c r="E412" s="21" t="inlineStr"/>
      <c r="F412" s="31" t="n"/>
      <c r="G412" s="31" t="n"/>
      <c r="H412" s="31" t="n"/>
      <c r="I412" s="31" t="n"/>
      <c r="J412" s="31" t="n">
        <v>0</v>
      </c>
      <c r="K412" s="31" t="n">
        <v>0</v>
      </c>
      <c r="L412" s="31" t="n">
        <v>0</v>
      </c>
      <c r="M412" s="31" t="n">
        <v>14</v>
      </c>
      <c r="N412" s="21" t="inlineStr">
        <is>
          <t>Hospital</t>
        </is>
      </c>
      <c r="O412" s="21" t="inlineStr"/>
      <c r="P412" s="21" t="inlineStr"/>
      <c r="Q412" s="21" t="inlineStr"/>
      <c r="R412" s="40" t="n">
        <v>5000</v>
      </c>
      <c r="S412" s="21" t="inlineStr">
        <is>
          <t>IR3 105</t>
        </is>
      </c>
      <c r="T412" s="21" t="inlineStr">
        <is>
          <t>Borgware. External Body Cyberware. Installation requires BODY 16 or higher unless the user is a Full Body Conversion. After installation, the user’s body and head are armored at SP 15, and the user takes an Armor Penalty</t>
        </is>
      </c>
    </row>
    <row r="413">
      <c r="A413" s="21" t="inlineStr">
        <is>
          <t>Dragoon Plating, Metalgear</t>
        </is>
      </c>
      <c r="B413" s="21" t="inlineStr">
        <is>
          <t>Кибернетика</t>
        </is>
      </c>
      <c r="C413" s="21" t="inlineStr">
        <is>
          <t>Borgware · External</t>
        </is>
      </c>
      <c r="D413" s="21" t="inlineStr"/>
      <c r="E413" s="21" t="inlineStr"/>
      <c r="F413" s="31" t="n"/>
      <c r="G413" s="31" t="n"/>
      <c r="H413" s="31" t="n"/>
      <c r="I413" s="31" t="n"/>
      <c r="J413" s="31" t="n">
        <v>0</v>
      </c>
      <c r="K413" s="31" t="n">
        <v>0</v>
      </c>
      <c r="L413" s="31" t="n">
        <v>0</v>
      </c>
      <c r="M413" s="31" t="n">
        <v>14</v>
      </c>
      <c r="N413" s="21" t="inlineStr">
        <is>
          <t>Hospital</t>
        </is>
      </c>
      <c r="O413" s="21" t="inlineStr"/>
      <c r="P413" s="21" t="inlineStr"/>
      <c r="Q413" s="21" t="inlineStr"/>
      <c r="R413" s="40" t="n">
        <v>15000</v>
      </c>
      <c r="S413" s="21" t="inlineStr">
        <is>
          <t>IR3 105</t>
        </is>
      </c>
      <c r="T413" s="21" t="inlineStr">
        <is>
          <t>Borgware. External Body Cyberware. Installation requires BODY 16 or higher unless the user is a Full Body Conversion. After installation, the user’s body and head are armored at SP 18, and the user takes an Armor Penalty</t>
        </is>
      </c>
    </row>
    <row r="414">
      <c r="A414" s="21" t="inlineStr">
        <is>
          <t>Heavy Subdermal Plating</t>
        </is>
      </c>
      <c r="B414" s="21" t="inlineStr">
        <is>
          <t>Кибернетика</t>
        </is>
      </c>
      <c r="C414" s="21" t="inlineStr">
        <is>
          <t>Borgware · External</t>
        </is>
      </c>
      <c r="D414" s="21" t="inlineStr"/>
      <c r="E414" s="21" t="inlineStr"/>
      <c r="F414" s="31" t="n"/>
      <c r="G414" s="31" t="n"/>
      <c r="H414" s="31" t="n"/>
      <c r="I414" s="31" t="n"/>
      <c r="J414" s="31" t="n">
        <v>0</v>
      </c>
      <c r="K414" s="31" t="n">
        <v>0</v>
      </c>
      <c r="L414" s="31" t="n">
        <v>0</v>
      </c>
      <c r="M414" s="31" t="n">
        <v>14</v>
      </c>
      <c r="N414" s="21" t="inlineStr">
        <is>
          <t>Hospital</t>
        </is>
      </c>
      <c r="O414" s="21" t="inlineStr"/>
      <c r="P414" s="21" t="inlineStr"/>
      <c r="Q414" s="21" t="inlineStr"/>
      <c r="R414" s="40" t="n">
        <v>5000</v>
      </c>
      <c r="S414" s="21" t="inlineStr">
        <is>
          <t>IR3 107</t>
        </is>
      </c>
      <c r="T414" s="21" t="inlineStr">
        <is>
          <t>Borgware. External Body Cyberware. Subdermal Armor. Installation requires BODY 10 unless the user is a Full Body Conversion. The user’s body and head are armored at SP 13. The user takes an Armor Penalty of -2 to REF, DE</t>
        </is>
      </c>
    </row>
    <row r="415">
      <c r="A415" s="21" t="inlineStr">
        <is>
          <t>Zeta CyberConductor, Integrated</t>
        </is>
      </c>
      <c r="B415" s="21" t="inlineStr">
        <is>
          <t>Кибернетика</t>
        </is>
      </c>
      <c r="C415" s="21" t="inlineStr">
        <is>
          <t>Borgware · Internal</t>
        </is>
      </c>
      <c r="D415" s="21" t="inlineStr"/>
      <c r="E415" s="21" t="inlineStr"/>
      <c r="F415" s="31" t="n"/>
      <c r="G415" s="31" t="n"/>
      <c r="H415" s="31" t="n"/>
      <c r="I415" s="31" t="n"/>
      <c r="J415" s="31" t="n">
        <v>0</v>
      </c>
      <c r="K415" s="31" t="n">
        <v>0</v>
      </c>
      <c r="L415" s="31" t="n">
        <v>0</v>
      </c>
      <c r="M415" s="31" t="n">
        <v>14</v>
      </c>
      <c r="N415" s="21" t="inlineStr">
        <is>
          <t>Hospital</t>
        </is>
      </c>
      <c r="O415" s="21" t="inlineStr"/>
      <c r="P415" s="21" t="inlineStr"/>
      <c r="Q415" s="21" t="inlineStr"/>
      <c r="R415" s="40" t="n">
        <v>1000</v>
      </c>
      <c r="S415" s="21" t="inlineStr">
        <is>
          <t>DL:12RED 5 · IR5 101</t>
        </is>
      </c>
      <c r="T415" s="21" t="inlineStr">
        <is>
          <t>Borgware. Internal Body Cyberware. Requires 3 Option Slots. May only be installed in a Full Body Conversion. An integrated Zetatech CyberConductor is installed in the FBC’s body. In addition to giving the FBC access to a</t>
        </is>
      </c>
    </row>
    <row r="416">
      <c r="A416" s="21" t="inlineStr">
        <is>
          <t>David’s Experimental Sandevistan</t>
        </is>
      </c>
      <c r="B416" s="21" t="inlineStr">
        <is>
          <t>Кибернетика</t>
        </is>
      </c>
      <c r="C416" s="21" t="inlineStr">
        <is>
          <t>Borgware · Neuralware</t>
        </is>
      </c>
      <c r="D416" s="21" t="inlineStr"/>
      <c r="E416" s="21" t="inlineStr"/>
      <c r="F416" s="31" t="n"/>
      <c r="G416" s="31" t="n"/>
      <c r="H416" s="31" t="n"/>
      <c r="I416" s="31" t="n"/>
      <c r="J416" s="31" t="n">
        <v>0</v>
      </c>
      <c r="K416" s="31" t="n">
        <v>0</v>
      </c>
      <c r="L416" s="31" t="n">
        <v>0</v>
      </c>
      <c r="M416" s="31" t="n">
        <v>14</v>
      </c>
      <c r="N416" s="21" t="inlineStr">
        <is>
          <t>Hospital</t>
        </is>
      </c>
      <c r="O416" s="21" t="inlineStr"/>
      <c r="P416" s="21" t="inlineStr"/>
      <c r="Q416" s="21" t="inlineStr"/>
      <c r="R416" s="40" t="n">
        <v>250000</v>
      </c>
      <c r="S416" s="21" t="inlineStr">
        <is>
          <t>CEMK 34</t>
        </is>
      </c>
      <c r="T416" s="21" t="inlineStr">
        <is>
          <t>There’s only a few of these in the world, and it cost at least two people their lives. Are you sure you want it? Requires 2 Neuralware Option Slots. Whenever a user activates the Experimental Sandevistan, they take 2d6 H</t>
        </is>
      </c>
    </row>
    <row r="417">
      <c r="A417" s="21" t="inlineStr">
        <is>
          <t>Bow</t>
        </is>
      </c>
      <c r="B417" s="21" t="inlineStr">
        <is>
          <t>Огнестрельное оружие</t>
        </is>
      </c>
      <c r="C417" s="21" t="inlineStr">
        <is>
          <t>Bow</t>
        </is>
      </c>
      <c r="D417" s="21" t="inlineStr">
        <is>
          <t>Archery</t>
        </is>
      </c>
      <c r="E417" s="21" t="inlineStr">
        <is>
          <t>4d6</t>
        </is>
      </c>
      <c r="F417" s="31" t="n">
        <v>1</v>
      </c>
      <c r="G417" s="31" t="n"/>
      <c r="H417" s="31" t="n"/>
      <c r="I417" s="31" t="n"/>
      <c r="J417" s="31" t="n">
        <v>0</v>
      </c>
      <c r="K417" s="31" t="n">
        <v>0</v>
      </c>
      <c r="L417" s="31" t="n">
        <v>0</v>
      </c>
      <c r="M417" s="31" t="n">
        <v>0</v>
      </c>
      <c r="N417" s="21" t="inlineStr"/>
      <c r="O417" s="21" t="n">
        <v>2</v>
      </c>
      <c r="P417" s="21" t="inlineStr">
        <is>
          <t>NO</t>
        </is>
      </c>
      <c r="Q417" s="21" t="inlineStr">
        <is>
          <t>Standard</t>
        </is>
      </c>
      <c r="R417" s="40" t="n">
        <v>100</v>
      </c>
      <c r="S417" s="21" t="inlineStr">
        <is>
          <t>CP:R 341</t>
        </is>
      </c>
      <c r="T417" s="21" t="inlineStr">
        <is>
          <t>Generic Bow. Can be flavored as any that is not listed here.</t>
        </is>
      </c>
    </row>
    <row r="418">
      <c r="A418" s="21" t="inlineStr">
        <is>
          <t>Arasaka Origami</t>
        </is>
      </c>
      <c r="B418" s="21" t="inlineStr">
        <is>
          <t>Огнестрельное оружие</t>
        </is>
      </c>
      <c r="C418" s="21" t="inlineStr">
        <is>
          <t>Bow</t>
        </is>
      </c>
      <c r="D418" s="21" t="inlineStr">
        <is>
          <t>Archery</t>
        </is>
      </c>
      <c r="E418" s="21" t="inlineStr">
        <is>
          <t>4d6</t>
        </is>
      </c>
      <c r="F418" s="31" t="n">
        <v>1</v>
      </c>
      <c r="G418" s="31" t="n"/>
      <c r="H418" s="31" t="n"/>
      <c r="I418" s="31" t="n"/>
      <c r="J418" s="31" t="n">
        <v>0</v>
      </c>
      <c r="K418" s="31" t="n">
        <v>0</v>
      </c>
      <c r="L418" s="31" t="n">
        <v>0</v>
      </c>
      <c r="M418" s="31" t="n">
        <v>0</v>
      </c>
      <c r="N418" s="21" t="inlineStr"/>
      <c r="O418" s="21" t="n">
        <v>2</v>
      </c>
      <c r="P418" s="21" t="inlineStr">
        <is>
          <t>YES</t>
        </is>
      </c>
      <c r="Q418" s="21" t="inlineStr">
        <is>
          <t>Standard</t>
        </is>
      </c>
      <c r="R418" s="40" t="n">
        <v>200</v>
      </c>
      <c r="S418" s="21" t="inlineStr">
        <is>
          <t>DL:TT 10 · IR5 44</t>
        </is>
      </c>
      <c r="T418" s="21" t="inlineStr">
        <is>
          <t>The Arasaka Origami, aka the ninja special, is a recurve bow with spring-loaded action that allows it to be folded and unfolded with a flick of the wrist. A Standard Quality Bow. Concealable when folded. Folding/unfoldin</t>
        </is>
      </c>
    </row>
    <row r="419">
      <c r="A419" s="21" t="inlineStr">
        <is>
          <t>Eagletech Bearcat</t>
        </is>
      </c>
      <c r="B419" s="21" t="inlineStr">
        <is>
          <t>Огнестрельное оружие</t>
        </is>
      </c>
      <c r="C419" s="21" t="inlineStr">
        <is>
          <t>Bow</t>
        </is>
      </c>
      <c r="D419" s="21" t="inlineStr">
        <is>
          <t>Archery</t>
        </is>
      </c>
      <c r="E419" s="21" t="inlineStr">
        <is>
          <t>4d6</t>
        </is>
      </c>
      <c r="F419" s="31" t="n">
        <v>1</v>
      </c>
      <c r="G419" s="31" t="n"/>
      <c r="H419" s="31" t="n"/>
      <c r="I419" s="31" t="n"/>
      <c r="J419" s="31" t="n">
        <v>0</v>
      </c>
      <c r="K419" s="31" t="n">
        <v>0</v>
      </c>
      <c r="L419" s="31" t="n">
        <v>0</v>
      </c>
      <c r="M419" s="31" t="n">
        <v>0</v>
      </c>
      <c r="N419" s="21" t="inlineStr"/>
      <c r="O419" s="21" t="n">
        <v>2</v>
      </c>
      <c r="P419" s="21" t="inlineStr">
        <is>
          <t>NO</t>
        </is>
      </c>
      <c r="Q419" s="21" t="inlineStr">
        <is>
          <t>Excellent</t>
        </is>
      </c>
      <c r="R419" s="40" t="n">
        <v>500</v>
      </c>
      <c r="S419" s="21" t="inlineStr">
        <is>
          <t>CP:R 342 · DL:TT 11 · IR5 45</t>
        </is>
      </c>
      <c r="T419" s="21" t="inlineStr">
        <is>
          <t>Excellent Quality Bow. It is made of high-strength composites, maximising the power-to-weight ratio.</t>
        </is>
      </c>
    </row>
    <row r="420">
      <c r="A420" s="21" t="inlineStr">
        <is>
          <t>Eagletech Tigercat</t>
        </is>
      </c>
      <c r="B420" s="21" t="inlineStr">
        <is>
          <t>Огнестрельное оружие</t>
        </is>
      </c>
      <c r="C420" s="21" t="inlineStr">
        <is>
          <t>Bow</t>
        </is>
      </c>
      <c r="D420" s="21" t="inlineStr">
        <is>
          <t>Archery</t>
        </is>
      </c>
      <c r="E420" s="21" t="inlineStr">
        <is>
          <t>4d6</t>
        </is>
      </c>
      <c r="F420" s="31" t="n">
        <v>1</v>
      </c>
      <c r="G420" s="31" t="n"/>
      <c r="H420" s="31" t="n"/>
      <c r="I420" s="31" t="n"/>
      <c r="J420" s="31" t="n">
        <v>0</v>
      </c>
      <c r="K420" s="31" t="n">
        <v>0</v>
      </c>
      <c r="L420" s="31" t="n">
        <v>0</v>
      </c>
      <c r="M420" s="31" t="n">
        <v>0</v>
      </c>
      <c r="N420" s="21" t="inlineStr"/>
      <c r="O420" s="21" t="n">
        <v>2</v>
      </c>
      <c r="P420" s="21" t="inlineStr">
        <is>
          <t>NO</t>
        </is>
      </c>
      <c r="Q420" s="21" t="inlineStr">
        <is>
          <t>Excellent</t>
        </is>
      </c>
      <c r="R420" s="40" t="n">
        <v>1000</v>
      </c>
      <c r="S420" s="21" t="inlineStr">
        <is>
          <t>DL:TT 11 · IR5 45</t>
        </is>
      </c>
      <c r="T420" s="21" t="inlineStr">
        <is>
          <t>Excellent Quality Bow which comes preinstalled with a Smartgun Link.</t>
        </is>
      </c>
    </row>
    <row r="421">
      <c r="A421" s="21" t="inlineStr">
        <is>
          <t>Eagletech Tomcat</t>
        </is>
      </c>
      <c r="B421" s="21" t="inlineStr">
        <is>
          <t>Огнестрельное оружие</t>
        </is>
      </c>
      <c r="C421" s="21" t="inlineStr">
        <is>
          <t>Bow</t>
        </is>
      </c>
      <c r="D421" s="21" t="inlineStr">
        <is>
          <t>Archery</t>
        </is>
      </c>
      <c r="E421" s="21" t="inlineStr">
        <is>
          <t>4d6</t>
        </is>
      </c>
      <c r="F421" s="31" t="n">
        <v>1</v>
      </c>
      <c r="G421" s="31" t="n"/>
      <c r="H421" s="31" t="n"/>
      <c r="I421" s="31" t="n"/>
      <c r="J421" s="31" t="n">
        <v>0</v>
      </c>
      <c r="K421" s="31" t="n">
        <v>0</v>
      </c>
      <c r="L421" s="31" t="n">
        <v>0</v>
      </c>
      <c r="M421" s="31" t="n">
        <v>0</v>
      </c>
      <c r="N421" s="21" t="inlineStr"/>
      <c r="O421" s="21" t="n">
        <v>2</v>
      </c>
      <c r="P421" s="21" t="inlineStr">
        <is>
          <t>NO</t>
        </is>
      </c>
      <c r="Q421" s="21" t="inlineStr">
        <is>
          <t>Standard</t>
        </is>
      </c>
      <c r="R421" s="40" t="n">
        <v>100</v>
      </c>
      <c r="S421" s="21" t="inlineStr">
        <is>
          <t>CP:R 342 · DL:TT 11 · IR5 45</t>
        </is>
      </c>
      <c r="T421" s="21" t="inlineStr">
        <is>
          <t>Standard Quality Bow.</t>
        </is>
      </c>
    </row>
    <row r="422">
      <c r="A422" s="21" t="inlineStr">
        <is>
          <t>GunMart Hawk’s Eye</t>
        </is>
      </c>
      <c r="B422" s="21" t="inlineStr">
        <is>
          <t>Огнестрельное оружие</t>
        </is>
      </c>
      <c r="C422" s="21" t="inlineStr">
        <is>
          <t>Bow</t>
        </is>
      </c>
      <c r="D422" s="21" t="inlineStr">
        <is>
          <t>Archery</t>
        </is>
      </c>
      <c r="E422" s="21" t="inlineStr">
        <is>
          <t>4d6</t>
        </is>
      </c>
      <c r="F422" s="31" t="n">
        <v>1</v>
      </c>
      <c r="G422" s="31" t="n"/>
      <c r="H422" s="31" t="n"/>
      <c r="I422" s="31" t="n"/>
      <c r="J422" s="31" t="n">
        <v>0</v>
      </c>
      <c r="K422" s="31" t="n">
        <v>0</v>
      </c>
      <c r="L422" s="31" t="n">
        <v>0</v>
      </c>
      <c r="M422" s="31" t="n">
        <v>0</v>
      </c>
      <c r="N422" s="21" t="inlineStr"/>
      <c r="O422" s="21" t="n">
        <v>2</v>
      </c>
      <c r="P422" s="21" t="inlineStr">
        <is>
          <t>YES</t>
        </is>
      </c>
      <c r="Q422" s="21" t="inlineStr">
        <is>
          <t>Poor</t>
        </is>
      </c>
      <c r="R422" s="40" t="n">
        <v>100</v>
      </c>
      <c r="S422" s="21" t="inlineStr">
        <is>
          <t>DL:TT 11 · IR5 45</t>
        </is>
      </c>
      <c r="T422" s="21" t="inlineStr">
        <is>
          <t>Poor Quality Bow with a spring-loaded mechanism that allows it to fold and unfold without an Action. When folded, the Hawk's Eye is concealable.</t>
        </is>
      </c>
    </row>
    <row r="423">
      <c r="A423" s="21" t="inlineStr">
        <is>
          <t>GunMart Sherwood</t>
        </is>
      </c>
      <c r="B423" s="21" t="inlineStr">
        <is>
          <t>Огнестрельное оружие</t>
        </is>
      </c>
      <c r="C423" s="21" t="inlineStr">
        <is>
          <t>Bow</t>
        </is>
      </c>
      <c r="D423" s="21" t="inlineStr">
        <is>
          <t>Archery</t>
        </is>
      </c>
      <c r="E423" s="21" t="inlineStr">
        <is>
          <t>4d6</t>
        </is>
      </c>
      <c r="F423" s="31" t="n">
        <v>1</v>
      </c>
      <c r="G423" s="31" t="n"/>
      <c r="H423" s="31" t="n"/>
      <c r="I423" s="31" t="n"/>
      <c r="J423" s="31" t="n">
        <v>0</v>
      </c>
      <c r="K423" s="31" t="n">
        <v>0</v>
      </c>
      <c r="L423" s="31" t="n">
        <v>0</v>
      </c>
      <c r="M423" s="31" t="n">
        <v>0</v>
      </c>
      <c r="N423" s="21" t="inlineStr"/>
      <c r="O423" s="21" t="n">
        <v>2</v>
      </c>
      <c r="P423" s="21" t="inlineStr">
        <is>
          <t>NO</t>
        </is>
      </c>
      <c r="Q423" s="21" t="inlineStr">
        <is>
          <t>Poor</t>
        </is>
      </c>
      <c r="R423" s="40" t="n">
        <v>50</v>
      </c>
      <c r="S423" s="21" t="inlineStr">
        <is>
          <t>CP:R 342 · DL:TT 11 · IR5 45</t>
        </is>
      </c>
      <c r="T423" s="21" t="inlineStr">
        <is>
          <t>Poor Quality Bow. Due to its quality, it sometimes jams. It’s made of fibreglass with a cheap plastic grip that wears out quickly.</t>
        </is>
      </c>
    </row>
    <row r="424">
      <c r="A424" s="21" t="inlineStr">
        <is>
          <t>Scarlet Blackbow</t>
        </is>
      </c>
      <c r="B424" s="21" t="inlineStr">
        <is>
          <t>Огнестрельное оружие</t>
        </is>
      </c>
      <c r="C424" s="21" t="inlineStr">
        <is>
          <t>Bow</t>
        </is>
      </c>
      <c r="D424" s="21" t="inlineStr">
        <is>
          <t>Archery</t>
        </is>
      </c>
      <c r="E424" s="21" t="inlineStr">
        <is>
          <t>4d6</t>
        </is>
      </c>
      <c r="F424" s="31" t="n">
        <v>1</v>
      </c>
      <c r="G424" s="31" t="inlineStr">
        <is>
          <t>6 (Rubber Arrows)</t>
        </is>
      </c>
      <c r="H424" s="31" t="n"/>
      <c r="I424" s="31" t="n"/>
      <c r="J424" s="31" t="n">
        <v>0</v>
      </c>
      <c r="K424" s="31" t="n">
        <v>0</v>
      </c>
      <c r="L424" s="31" t="n">
        <v>0</v>
      </c>
      <c r="M424" s="31" t="n">
        <v>0</v>
      </c>
      <c r="N424" s="21" t="inlineStr"/>
      <c r="O424" s="21" t="n">
        <v>2</v>
      </c>
      <c r="P424" s="21" t="inlineStr">
        <is>
          <t>NO</t>
        </is>
      </c>
      <c r="Q424" s="21" t="inlineStr">
        <is>
          <t>Poor</t>
        </is>
      </c>
      <c r="R424" s="40" t="n">
        <v>50</v>
      </c>
      <c r="S424" s="21" t="inlineStr">
        <is>
          <t>DL:ElfTCG 9 · IR3 73</t>
        </is>
      </c>
      <c r="T424" s="21" t="inlineStr">
        <is>
          <t>Online bow from the Elflines Online game, previously owned by the bows namesake Scarlet Blackbow. The exotic bow comes with a quiver holding only six rubber arrows. When the weapon destroys itself, beyond repair, the wea</t>
        </is>
      </c>
    </row>
    <row r="425">
      <c r="A425" s="21" t="inlineStr">
        <is>
          <t>Explicit Memory Stimulator</t>
        </is>
      </c>
      <c r="B425" s="21" t="inlineStr">
        <is>
          <t>Кибернетика</t>
        </is>
      </c>
      <c r="C425" s="21" t="inlineStr">
        <is>
          <t>Chipware</t>
        </is>
      </c>
      <c r="D425" s="21" t="inlineStr"/>
      <c r="E425" s="21" t="inlineStr"/>
      <c r="F425" s="31" t="n"/>
      <c r="G425" s="31" t="n"/>
      <c r="H425" s="31" t="n"/>
      <c r="I425" s="31" t="n"/>
      <c r="J425" s="31" t="n">
        <v>0</v>
      </c>
      <c r="K425" s="31" t="n">
        <v>0</v>
      </c>
      <c r="L425" s="31" t="n">
        <v>0</v>
      </c>
      <c r="M425" s="31" t="n">
        <v>3</v>
      </c>
      <c r="N425" s="21" t="inlineStr"/>
      <c r="O425" s="21" t="inlineStr"/>
      <c r="P425" s="21" t="inlineStr"/>
      <c r="Q425" s="21" t="inlineStr"/>
      <c r="R425" s="40" t="n">
        <v>100</v>
      </c>
      <c r="S425" s="21" t="inlineStr">
        <is>
          <t>BC 18</t>
        </is>
      </c>
      <c r="T425" s="21" t="inlineStr">
        <is>
          <t>You’ve made it to the final round of Answer or Die, Night City’s favorite quiz show. Get this question right and you’ll go home with 500eb in your pocket! Get it wrong and you’ll go home in a bodybag. Alexandra Lagacé as</t>
        </is>
      </c>
    </row>
    <row r="426">
      <c r="A426" s="21" t="inlineStr">
        <is>
          <t>Memory Chip</t>
        </is>
      </c>
      <c r="B426" s="21" t="inlineStr">
        <is>
          <t>Кибернетика</t>
        </is>
      </c>
      <c r="C426" s="21" t="inlineStr">
        <is>
          <t>Chipware</t>
        </is>
      </c>
      <c r="D426" s="21" t="inlineStr"/>
      <c r="E426" s="21" t="inlineStr"/>
      <c r="F426" s="31" t="n"/>
      <c r="G426" s="31" t="n"/>
      <c r="H426" s="31" t="n"/>
      <c r="I426" s="31" t="n"/>
      <c r="J426" s="31" t="n">
        <v>0</v>
      </c>
      <c r="K426" s="31" t="n">
        <v>0</v>
      </c>
      <c r="L426" s="31" t="n">
        <v>0</v>
      </c>
      <c r="M426" s="31" t="n">
        <v>0</v>
      </c>
      <c r="N426" s="21" t="inlineStr"/>
      <c r="O426" s="21" t="inlineStr"/>
      <c r="P426" s="21" t="inlineStr"/>
      <c r="Q426" s="21" t="inlineStr"/>
      <c r="R426" s="40" t="n">
        <v>10</v>
      </c>
      <c r="S426" s="21" t="inlineStr">
        <is>
          <t>CP:R 359</t>
        </is>
      </c>
      <c r="T426" s="21" t="inlineStr">
        <is>
          <t>Chipware. The standard for data storage. While installed into a Chipware socket, the user's cyberware can store data on it or access data stored on it. Requires Chipware Socket.</t>
        </is>
      </c>
    </row>
    <row r="427">
      <c r="A427" s="21" t="inlineStr">
        <is>
          <t>Olfactory Boost</t>
        </is>
      </c>
      <c r="B427" s="21" t="inlineStr">
        <is>
          <t>Кибернетика</t>
        </is>
      </c>
      <c r="C427" s="21" t="inlineStr">
        <is>
          <t>Chipware</t>
        </is>
      </c>
      <c r="D427" s="21" t="inlineStr"/>
      <c r="E427" s="21" t="inlineStr"/>
      <c r="F427" s="31" t="n"/>
      <c r="G427" s="31" t="n"/>
      <c r="H427" s="31" t="n"/>
      <c r="I427" s="31" t="n"/>
      <c r="J427" s="31" t="n">
        <v>0</v>
      </c>
      <c r="K427" s="31" t="n">
        <v>0</v>
      </c>
      <c r="L427" s="31" t="n">
        <v>0</v>
      </c>
      <c r="M427" s="31" t="n">
        <v>7</v>
      </c>
      <c r="N427" s="21" t="inlineStr"/>
      <c r="O427" s="21" t="inlineStr"/>
      <c r="P427" s="21" t="inlineStr"/>
      <c r="Q427" s="21" t="inlineStr"/>
      <c r="R427" s="40" t="n">
        <v>100</v>
      </c>
      <c r="S427" s="21" t="inlineStr">
        <is>
          <t>CP:R 359</t>
        </is>
      </c>
      <c r="T427" s="21" t="inlineStr">
        <is>
          <t>Chipware. While installed into a Chipware Socket, the user's sense of smell is boosted, allowing them to use the Tracking Skill to track scent in addition to visual clues. Requires Chipware Socket.</t>
        </is>
      </c>
    </row>
    <row r="428">
      <c r="A428" s="21" t="inlineStr">
        <is>
          <t>Chemical Analyzer</t>
        </is>
      </c>
      <c r="B428" s="21" t="inlineStr">
        <is>
          <t>Кибернетика</t>
        </is>
      </c>
      <c r="C428" s="21" t="inlineStr">
        <is>
          <t>Chipware</t>
        </is>
      </c>
      <c r="D428" s="21" t="inlineStr"/>
      <c r="E428" s="21" t="inlineStr"/>
      <c r="F428" s="31" t="n"/>
      <c r="G428" s="31" t="n"/>
      <c r="H428" s="31" t="n"/>
      <c r="I428" s="31" t="n"/>
      <c r="J428" s="31" t="n">
        <v>0</v>
      </c>
      <c r="K428" s="31" t="n">
        <v>0</v>
      </c>
      <c r="L428" s="31" t="n">
        <v>0</v>
      </c>
      <c r="M428" s="31" t="n">
        <v>3</v>
      </c>
      <c r="N428" s="21" t="inlineStr"/>
      <c r="O428" s="21" t="inlineStr"/>
      <c r="P428" s="21" t="inlineStr"/>
      <c r="Q428" s="21" t="inlineStr"/>
      <c r="R428" s="40" t="n">
        <v>500</v>
      </c>
      <c r="S428" s="21" t="inlineStr">
        <is>
          <t>CP:R 359</t>
        </is>
      </c>
      <c r="T428" s="21" t="inlineStr">
        <is>
          <t>Chipware. While installed into a Chipware Socket, allows user to test substances to find their precise chemical composition as an Action, identifying most substances instantly from a wide database of samples. Requires Ch</t>
        </is>
      </c>
    </row>
    <row r="429">
      <c r="A429" s="21" t="inlineStr">
        <is>
          <t>Tactile Boost</t>
        </is>
      </c>
      <c r="B429" s="21" t="inlineStr">
        <is>
          <t>Кибернетика</t>
        </is>
      </c>
      <c r="C429" s="21" t="inlineStr">
        <is>
          <t>Chipware</t>
        </is>
      </c>
      <c r="D429" s="21" t="inlineStr"/>
      <c r="E429" s="21" t="inlineStr"/>
      <c r="F429" s="31" t="n"/>
      <c r="G429" s="31" t="n"/>
      <c r="H429" s="31" t="n"/>
      <c r="I429" s="31" t="n"/>
      <c r="J429" s="31" t="n">
        <v>0</v>
      </c>
      <c r="K429" s="31" t="n">
        <v>0</v>
      </c>
      <c r="L429" s="31" t="n">
        <v>0</v>
      </c>
      <c r="M429" s="31" t="n">
        <v>7</v>
      </c>
      <c r="N429" s="21" t="inlineStr"/>
      <c r="O429" s="21" t="inlineStr"/>
      <c r="P429" s="21" t="inlineStr"/>
      <c r="Q429" s="21" t="inlineStr"/>
      <c r="R429" s="40" t="n">
        <v>100</v>
      </c>
      <c r="S429" s="21" t="inlineStr">
        <is>
          <t>CP:R 360</t>
        </is>
      </c>
      <c r="T429" s="21" t="inlineStr">
        <is>
          <t>Chipware. While installed into a Chipware Socket, it boosts the user's sense of touch, allowing them to detect motion within 20m/yds of them, as long as their hand is touching a surface. While in use as a motion detector</t>
        </is>
      </c>
    </row>
    <row r="430">
      <c r="A430" s="21" t="inlineStr">
        <is>
          <t>Skill Chip</t>
        </is>
      </c>
      <c r="B430" s="21" t="inlineStr">
        <is>
          <t>Кибернетика</t>
        </is>
      </c>
      <c r="C430" s="21" t="inlineStr">
        <is>
          <t>Chipware</t>
        </is>
      </c>
      <c r="D430" s="21" t="inlineStr"/>
      <c r="E430" s="21" t="inlineStr"/>
      <c r="F430" s="31" t="n"/>
      <c r="G430" s="31" t="n"/>
      <c r="H430" s="31" t="n"/>
      <c r="I430" s="31" t="n"/>
      <c r="J430" s="31" t="n">
        <v>0</v>
      </c>
      <c r="K430" s="31" t="n">
        <v>0</v>
      </c>
      <c r="L430" s="31" t="n">
        <v>0</v>
      </c>
      <c r="M430" s="31" t="n">
        <v>7</v>
      </c>
      <c r="N430" s="21" t="inlineStr"/>
      <c r="O430" s="21" t="inlineStr"/>
      <c r="P430" s="21" t="inlineStr"/>
      <c r="Q430" s="21" t="inlineStr"/>
      <c r="R430" s="40" t="n">
        <v>500</v>
      </c>
      <c r="S430" s="21" t="inlineStr">
        <is>
          <t>CP:R 360</t>
        </is>
      </c>
      <c r="T430" s="21" t="inlineStr">
        <is>
          <t xml:space="preserve">Chipware. While installed into a Chipware Socket, a Skill Chip makes the Skill it was made for trained for the user at +3, unless the user's Skill was already trained higher than +3, in which case it does nothing. Skill </t>
        </is>
      </c>
    </row>
    <row r="431">
      <c r="A431" s="21" t="inlineStr">
        <is>
          <t>Pain Editor</t>
        </is>
      </c>
      <c r="B431" s="21" t="inlineStr">
        <is>
          <t>Кибернетика</t>
        </is>
      </c>
      <c r="C431" s="21" t="inlineStr">
        <is>
          <t>Chipware</t>
        </is>
      </c>
      <c r="D431" s="21" t="inlineStr"/>
      <c r="E431" s="21" t="inlineStr"/>
      <c r="F431" s="31" t="n"/>
      <c r="G431" s="31" t="n"/>
      <c r="H431" s="31" t="n"/>
      <c r="I431" s="31" t="n"/>
      <c r="J431" s="31" t="n">
        <v>0</v>
      </c>
      <c r="K431" s="31" t="n">
        <v>0</v>
      </c>
      <c r="L431" s="31" t="n">
        <v>0</v>
      </c>
      <c r="M431" s="31" t="n">
        <v>14</v>
      </c>
      <c r="N431" s="21" t="inlineStr"/>
      <c r="O431" s="21" t="inlineStr"/>
      <c r="P431" s="21" t="inlineStr"/>
      <c r="Q431" s="21" t="inlineStr"/>
      <c r="R431" s="40" t="n">
        <v>1000</v>
      </c>
      <c r="S431" s="21" t="inlineStr">
        <is>
          <t>CP:R 360</t>
        </is>
      </c>
      <c r="T431" s="21" t="inlineStr">
        <is>
          <t>Chipware. While installed into a Chipware Socket, a Pain Editor shuts off the user's pain receptors dynamically, allowing them to ignore the effects of the Seriously Wounded Wound State. Requires Chipware Socket.</t>
        </is>
      </c>
    </row>
    <row r="432">
      <c r="A432" s="21" t="inlineStr">
        <is>
          <t>Poser Chip</t>
        </is>
      </c>
      <c r="B432" s="21" t="inlineStr">
        <is>
          <t>Кибернетика</t>
        </is>
      </c>
      <c r="C432" s="21" t="inlineStr">
        <is>
          <t>Chipware</t>
        </is>
      </c>
      <c r="D432" s="21" t="inlineStr"/>
      <c r="E432" s="21" t="inlineStr"/>
      <c r="F432" s="31" t="n"/>
      <c r="G432" s="31" t="n"/>
      <c r="H432" s="31" t="n"/>
      <c r="I432" s="31" t="n"/>
      <c r="J432" s="31" t="n">
        <v>0</v>
      </c>
      <c r="K432" s="31" t="n">
        <v>0</v>
      </c>
      <c r="L432" s="31" t="n">
        <v>0</v>
      </c>
      <c r="M432" s="31" t="n">
        <v>14</v>
      </c>
      <c r="N432" s="21" t="inlineStr"/>
      <c r="O432" s="21" t="inlineStr"/>
      <c r="P432" s="21" t="inlineStr"/>
      <c r="Q432" s="21" t="inlineStr"/>
      <c r="R432" s="40" t="n">
        <v>500</v>
      </c>
      <c r="S432" s="21" t="inlineStr">
        <is>
          <t>DL:12Cy 4 · IR3 86</t>
        </is>
      </c>
      <c r="T432" s="21" t="inlineStr">
        <is>
          <t>Endorsed by the Prime-Time Players of Night City and poser gangs all around the world, the Poser Chip takes your adoption of an icon’s style and identity to the next level. Don’t just pretend to be your favorite celebrit</t>
        </is>
      </c>
    </row>
    <row r="433">
      <c r="A433" s="21" t="inlineStr">
        <is>
          <t>Translation Chip</t>
        </is>
      </c>
      <c r="B433" s="21" t="inlineStr">
        <is>
          <t>Кибернетика</t>
        </is>
      </c>
      <c r="C433" s="21" t="inlineStr">
        <is>
          <t>Chipware</t>
        </is>
      </c>
      <c r="D433" s="21" t="inlineStr"/>
      <c r="E433" s="21" t="inlineStr"/>
      <c r="F433" s="31" t="n"/>
      <c r="G433" s="31" t="n"/>
      <c r="H433" s="31" t="n"/>
      <c r="I433" s="31" t="n"/>
      <c r="J433" s="31" t="n">
        <v>0</v>
      </c>
      <c r="K433" s="31" t="n">
        <v>0</v>
      </c>
      <c r="L433" s="31" t="n">
        <v>0</v>
      </c>
      <c r="M433" s="31" t="n">
        <v>7</v>
      </c>
      <c r="N433" s="21" t="inlineStr"/>
      <c r="O433" s="21" t="inlineStr"/>
      <c r="P433" s="21" t="inlineStr"/>
      <c r="Q433" s="21" t="inlineStr"/>
      <c r="R433" s="40" t="n">
        <v>1000</v>
      </c>
      <c r="S433" s="21" t="inlineStr">
        <is>
          <t>DL:GQ 7</t>
        </is>
      </c>
      <c r="T433" s="21" t="inlineStr">
        <is>
          <t>Raven Microcyb just released these swanky things onto the market. Real-time translation devices. As you see or hear words, the chip translates into the language of your choice and projects that text onto your chyron. Chi</t>
        </is>
      </c>
    </row>
    <row r="434">
      <c r="A434" s="21" t="inlineStr">
        <is>
          <t>Crossbow</t>
        </is>
      </c>
      <c r="B434" s="21" t="inlineStr">
        <is>
          <t>Огнестрельное оружие</t>
        </is>
      </c>
      <c r="C434" s="21" t="inlineStr">
        <is>
          <t>Crossbow</t>
        </is>
      </c>
      <c r="D434" s="21" t="inlineStr">
        <is>
          <t>Archery</t>
        </is>
      </c>
      <c r="E434" s="21" t="inlineStr">
        <is>
          <t>4d6</t>
        </is>
      </c>
      <c r="F434" s="31" t="n">
        <v>1</v>
      </c>
      <c r="G434" s="31" t="n">
        <v>1</v>
      </c>
      <c r="H434" s="31" t="n"/>
      <c r="I434" s="31" t="n"/>
      <c r="J434" s="31" t="n">
        <v>0</v>
      </c>
      <c r="K434" s="31" t="n">
        <v>0</v>
      </c>
      <c r="L434" s="31" t="n">
        <v>0</v>
      </c>
      <c r="M434" s="31" t="n">
        <v>0</v>
      </c>
      <c r="N434" s="21" t="inlineStr"/>
      <c r="O434" s="21" t="n">
        <v>2</v>
      </c>
      <c r="P434" s="21" t="inlineStr">
        <is>
          <t>NO</t>
        </is>
      </c>
      <c r="Q434" s="21" t="inlineStr">
        <is>
          <t>Standard</t>
        </is>
      </c>
      <c r="R434" s="40" t="n">
        <v>100</v>
      </c>
      <c r="S434" s="21" t="inlineStr">
        <is>
          <t>CP:R 341</t>
        </is>
      </c>
      <c r="T434" s="21" t="inlineStr">
        <is>
          <t>Generic Crossbow. Can be flavored as any that is not listed here.</t>
        </is>
      </c>
    </row>
    <row r="435">
      <c r="A435" s="21" t="inlineStr">
        <is>
          <t>Eagletech Arbelest</t>
        </is>
      </c>
      <c r="B435" s="21" t="inlineStr">
        <is>
          <t>Огнестрельное оружие</t>
        </is>
      </c>
      <c r="C435" s="21" t="inlineStr">
        <is>
          <t>Crossbow</t>
        </is>
      </c>
      <c r="D435" s="21" t="inlineStr">
        <is>
          <t>Archery</t>
        </is>
      </c>
      <c r="E435" s="21" t="inlineStr">
        <is>
          <t>4d6</t>
        </is>
      </c>
      <c r="F435" s="31" t="n">
        <v>1</v>
      </c>
      <c r="G435" s="31" t="n">
        <v>1</v>
      </c>
      <c r="H435" s="31" t="n"/>
      <c r="I435" s="31" t="n"/>
      <c r="J435" s="31" t="n">
        <v>0</v>
      </c>
      <c r="K435" s="31" t="n">
        <v>0</v>
      </c>
      <c r="L435" s="31" t="n">
        <v>0</v>
      </c>
      <c r="M435" s="31" t="n">
        <v>0</v>
      </c>
      <c r="N435" s="21" t="inlineStr"/>
      <c r="O435" s="21" t="n">
        <v>2</v>
      </c>
      <c r="P435" s="21" t="inlineStr">
        <is>
          <t>NO</t>
        </is>
      </c>
      <c r="Q435" s="21" t="inlineStr">
        <is>
          <t>Excellent</t>
        </is>
      </c>
      <c r="R435" s="40" t="n">
        <v>1000</v>
      </c>
      <c r="S435" s="21" t="inlineStr">
        <is>
          <t>DL:TT 11 · IR5 45</t>
        </is>
      </c>
      <c r="T435" s="21" t="inlineStr">
        <is>
          <t>Excellent Quality Crossbow that comes preinstalled with a Smartgun Link. Biotechnica uses them when dealing with genetically-engineered wildlife</t>
        </is>
      </c>
    </row>
    <row r="436">
      <c r="A436" s="21" t="inlineStr">
        <is>
          <t>Eagletech Scorpion</t>
        </is>
      </c>
      <c r="B436" s="21" t="inlineStr">
        <is>
          <t>Огнестрельное оружие</t>
        </is>
      </c>
      <c r="C436" s="21" t="inlineStr">
        <is>
          <t>Crossbow</t>
        </is>
      </c>
      <c r="D436" s="21" t="inlineStr">
        <is>
          <t>Archery</t>
        </is>
      </c>
      <c r="E436" s="21" t="inlineStr">
        <is>
          <t>4d6</t>
        </is>
      </c>
      <c r="F436" s="31" t="n">
        <v>1</v>
      </c>
      <c r="G436" s="31" t="n">
        <v>1</v>
      </c>
      <c r="H436" s="31" t="n"/>
      <c r="I436" s="31" t="n"/>
      <c r="J436" s="31" t="n">
        <v>0</v>
      </c>
      <c r="K436" s="31" t="n">
        <v>0</v>
      </c>
      <c r="L436" s="31" t="n">
        <v>0</v>
      </c>
      <c r="M436" s="31" t="n">
        <v>0</v>
      </c>
      <c r="N436" s="21" t="inlineStr"/>
      <c r="O436" s="21" t="n">
        <v>2</v>
      </c>
      <c r="P436" s="21" t="inlineStr">
        <is>
          <t>NO</t>
        </is>
      </c>
      <c r="Q436" s="21" t="inlineStr">
        <is>
          <t>Excellent</t>
        </is>
      </c>
      <c r="R436" s="40" t="n">
        <v>500</v>
      </c>
      <c r="S436" s="21" t="inlineStr">
        <is>
          <t>CP:R 342 · DL:TT 11 · IR5 45</t>
        </is>
      </c>
      <c r="T436" s="21" t="inlineStr">
        <is>
          <t>Excellent Quality Crossbow</t>
        </is>
      </c>
    </row>
    <row r="437">
      <c r="A437" s="21" t="inlineStr">
        <is>
          <t>Eagletech Stryker</t>
        </is>
      </c>
      <c r="B437" s="21" t="inlineStr">
        <is>
          <t>Огнестрельное оружие</t>
        </is>
      </c>
      <c r="C437" s="21" t="inlineStr">
        <is>
          <t>Crossbow</t>
        </is>
      </c>
      <c r="D437" s="21" t="inlineStr">
        <is>
          <t>Archery</t>
        </is>
      </c>
      <c r="E437" s="21" t="inlineStr">
        <is>
          <t>4d6</t>
        </is>
      </c>
      <c r="F437" s="31" t="n">
        <v>1</v>
      </c>
      <c r="G437" s="31" t="n">
        <v>1</v>
      </c>
      <c r="H437" s="31" t="n"/>
      <c r="I437" s="31" t="n"/>
      <c r="J437" s="31" t="n">
        <v>0</v>
      </c>
      <c r="K437" s="31" t="n">
        <v>0</v>
      </c>
      <c r="L437" s="31" t="n">
        <v>0</v>
      </c>
      <c r="M437" s="31" t="n">
        <v>0</v>
      </c>
      <c r="N437" s="21" t="inlineStr"/>
      <c r="O437" s="21" t="n">
        <v>2</v>
      </c>
      <c r="P437" s="21" t="inlineStr">
        <is>
          <t>NO</t>
        </is>
      </c>
      <c r="Q437" s="21" t="inlineStr">
        <is>
          <t>Standard</t>
        </is>
      </c>
      <c r="R437" s="40" t="n">
        <v>100</v>
      </c>
      <c r="S437" s="21" t="inlineStr">
        <is>
          <t>CP:R 342 · DL:TT 11 · IR5 45</t>
        </is>
      </c>
      <c r="T437" s="21" t="inlineStr">
        <is>
          <t>Standard Quality Crossbow. It’s designed as a sports crossbow, used for competitions.</t>
        </is>
      </c>
    </row>
    <row r="438">
      <c r="A438" s="21" t="inlineStr">
        <is>
          <t>E VentureWare Mountaineer</t>
        </is>
      </c>
      <c r="B438" s="21" t="inlineStr">
        <is>
          <t>Огнестрельное оружие</t>
        </is>
      </c>
      <c r="C438" s="21" t="inlineStr">
        <is>
          <t>Crossbow</t>
        </is>
      </c>
      <c r="D438" s="21" t="inlineStr">
        <is>
          <t>Archery</t>
        </is>
      </c>
      <c r="E438" s="21" t="inlineStr">
        <is>
          <t>4d6</t>
        </is>
      </c>
      <c r="F438" s="31" t="n">
        <v>1</v>
      </c>
      <c r="G438" s="31" t="n"/>
      <c r="H438" s="31" t="n"/>
      <c r="I438" s="31" t="n"/>
      <c r="J438" s="31" t="n">
        <v>0</v>
      </c>
      <c r="K438" s="31" t="n">
        <v>0</v>
      </c>
      <c r="L438" s="31" t="n">
        <v>0</v>
      </c>
      <c r="M438" s="31" t="n">
        <v>0</v>
      </c>
      <c r="N438" s="21" t="inlineStr"/>
      <c r="O438" s="21" t="n">
        <v>2</v>
      </c>
      <c r="P438" s="21" t="inlineStr">
        <is>
          <t>NO</t>
        </is>
      </c>
      <c r="Q438" s="21" t="inlineStr">
        <is>
          <t>Standard</t>
        </is>
      </c>
      <c r="R438" s="40" t="n">
        <v>200</v>
      </c>
      <c r="S438" s="21" t="inlineStr">
        <is>
          <t>DL:TT 11 · IR5 45</t>
        </is>
      </c>
      <c r="T438" s="21" t="inlineStr">
        <is>
          <t>Standard Quality Crossbow that comes equipped with a Grapple Gun Underbarrel.</t>
        </is>
      </c>
    </row>
    <row r="439">
      <c r="A439" s="21" t="inlineStr">
        <is>
          <t>GunMart Hunter</t>
        </is>
      </c>
      <c r="B439" s="21" t="inlineStr">
        <is>
          <t>Огнестрельное оружие</t>
        </is>
      </c>
      <c r="C439" s="21" t="inlineStr">
        <is>
          <t>Crossbow</t>
        </is>
      </c>
      <c r="D439" s="21" t="inlineStr">
        <is>
          <t>Archery</t>
        </is>
      </c>
      <c r="E439" s="21" t="inlineStr">
        <is>
          <t>4d6</t>
        </is>
      </c>
      <c r="F439" s="31" t="n">
        <v>1</v>
      </c>
      <c r="G439" s="31" t="n">
        <v>1</v>
      </c>
      <c r="H439" s="31" t="n"/>
      <c r="I439" s="31" t="n"/>
      <c r="J439" s="31" t="n">
        <v>0</v>
      </c>
      <c r="K439" s="31" t="n">
        <v>0</v>
      </c>
      <c r="L439" s="31" t="n">
        <v>0</v>
      </c>
      <c r="M439" s="31" t="n">
        <v>0</v>
      </c>
      <c r="N439" s="21" t="inlineStr"/>
      <c r="O439" s="21" t="n">
        <v>2</v>
      </c>
      <c r="P439" s="21" t="inlineStr">
        <is>
          <t>NO</t>
        </is>
      </c>
      <c r="Q439" s="21" t="inlineStr">
        <is>
          <t>Poor</t>
        </is>
      </c>
      <c r="R439" s="40" t="n">
        <v>50</v>
      </c>
      <c r="S439" s="21" t="inlineStr">
        <is>
          <t>CP:R 342 · DL:TT 12 · IR5 46</t>
        </is>
      </c>
      <c r="T439" s="21" t="inlineStr">
        <is>
          <t>Poor Quality Crossbow. Due to its quality, it sometimes jams.</t>
        </is>
      </c>
    </row>
    <row r="440">
      <c r="A440" s="21" t="inlineStr">
        <is>
          <t>GunMart Midnight Hunter</t>
        </is>
      </c>
      <c r="B440" s="21" t="inlineStr">
        <is>
          <t>Огнестрельное оружие</t>
        </is>
      </c>
      <c r="C440" s="21" t="inlineStr">
        <is>
          <t>Crossbow</t>
        </is>
      </c>
      <c r="D440" s="21" t="inlineStr">
        <is>
          <t>Archery</t>
        </is>
      </c>
      <c r="E440" s="21" t="inlineStr">
        <is>
          <t>4d6</t>
        </is>
      </c>
      <c r="F440" s="31" t="n">
        <v>1</v>
      </c>
      <c r="G440" s="31" t="n"/>
      <c r="H440" s="31" t="n"/>
      <c r="I440" s="31" t="n"/>
      <c r="J440" s="31" t="n">
        <v>0</v>
      </c>
      <c r="K440" s="31" t="n">
        <v>0</v>
      </c>
      <c r="L440" s="31" t="n">
        <v>0</v>
      </c>
      <c r="M440" s="31" t="n">
        <v>0</v>
      </c>
      <c r="N440" s="21" t="inlineStr"/>
      <c r="O440" s="21" t="n">
        <v>2</v>
      </c>
      <c r="P440" s="21" t="inlineStr">
        <is>
          <t>NO</t>
        </is>
      </c>
      <c r="Q440" s="21" t="inlineStr">
        <is>
          <t>Poor</t>
        </is>
      </c>
      <c r="R440" s="40" t="n">
        <v>550</v>
      </c>
      <c r="S440" s="21" t="inlineStr">
        <is>
          <t>DL:TT 12 · IR5 46</t>
        </is>
      </c>
      <c r="T440" s="21" t="inlineStr">
        <is>
          <t>Poor Quality Crossbow that comes preinstalled with an Infrared Nightvision Scope. Due to its quality, it sometimes jams.</t>
        </is>
      </c>
    </row>
    <row r="441">
      <c r="A441" s="21" t="inlineStr">
        <is>
          <t>SlamDance Ballistic Harpoon</t>
        </is>
      </c>
      <c r="B441" s="21" t="inlineStr">
        <is>
          <t>Огнестрельное оружие</t>
        </is>
      </c>
      <c r="C441" s="21" t="inlineStr">
        <is>
          <t>Crossbow</t>
        </is>
      </c>
      <c r="D441" s="21" t="inlineStr">
        <is>
          <t>Heavy Weapons / Melee</t>
        </is>
      </c>
      <c r="E441" s="21" t="inlineStr">
        <is>
          <t>4d6</t>
        </is>
      </c>
      <c r="F441" s="31" t="n">
        <v>1</v>
      </c>
      <c r="G441" s="31" t="n">
        <v>1</v>
      </c>
      <c r="H441" s="31" t="n"/>
      <c r="I441" s="31" t="n"/>
      <c r="J441" s="31" t="n">
        <v>0</v>
      </c>
      <c r="K441" s="31" t="n">
        <v>0</v>
      </c>
      <c r="L441" s="31" t="n">
        <v>0</v>
      </c>
      <c r="M441" s="31" t="n">
        <v>0</v>
      </c>
      <c r="N441" s="21" t="inlineStr"/>
      <c r="O441" s="21" t="n">
        <v>2</v>
      </c>
      <c r="P441" s="21" t="inlineStr">
        <is>
          <t>NO</t>
        </is>
      </c>
      <c r="Q441" s="21" t="inlineStr">
        <is>
          <t>Standard</t>
        </is>
      </c>
      <c r="R441" s="40" t="n">
        <v>1000</v>
      </c>
      <c r="S441" s="21" t="inlineStr">
        <is>
          <t>DL:WG 5 · IR3 29</t>
        </is>
      </c>
      <c r="T441" s="21" t="inlineStr">
        <is>
          <t>Harpoon launched by a specialised crossbow. The harpoon can be fired using the Heavy Weapons skill and the Bows &amp; Crossbows range table and still ignores half of the target's armor SP. Once fired, the harpoon can still b</t>
        </is>
      </c>
    </row>
    <row r="442">
      <c r="A442" s="21" t="inlineStr">
        <is>
          <t>Discount Cyberaudio Suite</t>
        </is>
      </c>
      <c r="B442" s="21" t="inlineStr">
        <is>
          <t>Кибернетика</t>
        </is>
      </c>
      <c r="C442" s="21" t="inlineStr">
        <is>
          <t>Cyberaudio</t>
        </is>
      </c>
      <c r="D442" s="21" t="inlineStr"/>
      <c r="E442" s="21" t="inlineStr"/>
      <c r="F442" s="31" t="n"/>
      <c r="G442" s="31" t="n"/>
      <c r="H442" s="31" t="n"/>
      <c r="I442" s="31" t="n"/>
      <c r="J442" s="31" t="n">
        <v>0</v>
      </c>
      <c r="K442" s="31" t="n">
        <v>0</v>
      </c>
      <c r="L442" s="31" t="n">
        <v>0</v>
      </c>
      <c r="M442" s="31" t="n">
        <v>3</v>
      </c>
      <c r="N442" s="21" t="inlineStr">
        <is>
          <t>Clinic</t>
        </is>
      </c>
      <c r="O442" s="21" t="inlineStr"/>
      <c r="P442" s="21" t="inlineStr"/>
      <c r="Q442" s="21" t="inlineStr"/>
      <c r="R442" s="40" t="n">
        <v>100</v>
      </c>
      <c r="S442" s="21" t="inlineStr">
        <is>
          <t>BC 17</t>
        </is>
      </c>
      <c r="T442" s="21" t="inlineStr">
        <is>
          <t>You know how it is. You just want to tune up your ears a little but your Fixer keeps trying to sell you the deluxe model with lots of option slots. This baby might not look the sleekest, but you’ll pay for exactly what y</t>
        </is>
      </c>
    </row>
    <row r="443">
      <c r="A443" s="21" t="inlineStr">
        <is>
          <t>Amplified Hearing</t>
        </is>
      </c>
      <c r="B443" s="21" t="inlineStr">
        <is>
          <t>Кибернетика</t>
        </is>
      </c>
      <c r="C443" s="21" t="inlineStr">
        <is>
          <t>Cyberaudio</t>
        </is>
      </c>
      <c r="D443" s="21" t="inlineStr"/>
      <c r="E443" s="21" t="inlineStr"/>
      <c r="F443" s="31" t="n"/>
      <c r="G443" s="31" t="n"/>
      <c r="H443" s="31" t="n"/>
      <c r="I443" s="31" t="n"/>
      <c r="J443" s="31" t="n">
        <v>0</v>
      </c>
      <c r="K443" s="31" t="n">
        <v>0</v>
      </c>
      <c r="L443" s="31" t="n">
        <v>0</v>
      </c>
      <c r="M443" s="31" t="n">
        <v>3</v>
      </c>
      <c r="N443" s="21" t="inlineStr">
        <is>
          <t>Mall</t>
        </is>
      </c>
      <c r="O443" s="21" t="inlineStr"/>
      <c r="P443" s="21" t="inlineStr"/>
      <c r="Q443" s="21" t="inlineStr"/>
      <c r="R443" s="40" t="n">
        <v>100</v>
      </c>
      <c r="S443" s="21" t="inlineStr">
        <is>
          <t>CP:R 361</t>
        </is>
      </c>
      <c r="T443" s="21" t="inlineStr">
        <is>
          <t>Cyberaudio Option. User adds +2 to their Perception Skill for Checks which include hearing. Requires a Cyberaudio Suite. Multiple installations of this option provide user no additional benefit.</t>
        </is>
      </c>
    </row>
    <row r="444">
      <c r="A444" s="21" t="inlineStr">
        <is>
          <t>Audio Recorder</t>
        </is>
      </c>
      <c r="B444" s="21" t="inlineStr">
        <is>
          <t>Кибернетика</t>
        </is>
      </c>
      <c r="C444" s="21" t="inlineStr">
        <is>
          <t>Cyberaudio</t>
        </is>
      </c>
      <c r="D444" s="21" t="inlineStr"/>
      <c r="E444" s="21" t="inlineStr"/>
      <c r="F444" s="31" t="n"/>
      <c r="G444" s="31" t="n"/>
      <c r="H444" s="31" t="n"/>
      <c r="I444" s="31" t="n"/>
      <c r="J444" s="31" t="n">
        <v>0</v>
      </c>
      <c r="K444" s="31" t="n">
        <v>0</v>
      </c>
      <c r="L444" s="31" t="n">
        <v>0</v>
      </c>
      <c r="M444" s="31" t="n">
        <v>2</v>
      </c>
      <c r="N444" s="21" t="inlineStr">
        <is>
          <t>Clinic</t>
        </is>
      </c>
      <c r="O444" s="21" t="inlineStr"/>
      <c r="P444" s="21" t="inlineStr"/>
      <c r="Q444" s="21" t="inlineStr"/>
      <c r="R444" s="40" t="n">
        <v>100</v>
      </c>
      <c r="S444" s="21" t="inlineStr">
        <is>
          <t>CP:R 361</t>
        </is>
      </c>
      <c r="T444" s="21" t="inlineStr">
        <is>
          <t>Cyberaudio Option. Records audio to a standard Memory Chip or a linked Agent. Requires a Cyberaudio Suite</t>
        </is>
      </c>
    </row>
    <row r="445">
      <c r="A445" s="21" t="inlineStr">
        <is>
          <t>Bug Detector</t>
        </is>
      </c>
      <c r="B445" s="21" t="inlineStr">
        <is>
          <t>Кибернетика</t>
        </is>
      </c>
      <c r="C445" s="21" t="inlineStr">
        <is>
          <t>Cyberaudio</t>
        </is>
      </c>
      <c r="D445" s="21" t="inlineStr"/>
      <c r="E445" s="21" t="inlineStr"/>
      <c r="F445" s="31" t="n"/>
      <c r="G445" s="31" t="n"/>
      <c r="H445" s="31" t="n"/>
      <c r="I445" s="31" t="n"/>
      <c r="J445" s="31" t="n">
        <v>0</v>
      </c>
      <c r="K445" s="31" t="n">
        <v>0</v>
      </c>
      <c r="L445" s="31" t="n">
        <v>0</v>
      </c>
      <c r="M445" s="31" t="n">
        <v>2</v>
      </c>
      <c r="N445" s="21" t="inlineStr">
        <is>
          <t>Mall</t>
        </is>
      </c>
      <c r="O445" s="21" t="inlineStr"/>
      <c r="P445" s="21" t="inlineStr"/>
      <c r="Q445" s="21" t="inlineStr"/>
      <c r="R445" s="40" t="n">
        <v>100</v>
      </c>
      <c r="S445" s="21" t="inlineStr">
        <is>
          <t>CP:R 361</t>
        </is>
      </c>
      <c r="T445" s="21" t="inlineStr">
        <is>
          <t>Cyberaudio Option. Beeps when user is within 2m/yds of a tap, bug, or other listening device. Requires a Cyberaudio Suite.</t>
        </is>
      </c>
    </row>
    <row r="446">
      <c r="A446" s="21" t="inlineStr">
        <is>
          <t>Homing Tracer</t>
        </is>
      </c>
      <c r="B446" s="21" t="inlineStr">
        <is>
          <t>Кибернетика</t>
        </is>
      </c>
      <c r="C446" s="21" t="inlineStr">
        <is>
          <t>Cyberaudio</t>
        </is>
      </c>
      <c r="D446" s="21" t="inlineStr"/>
      <c r="E446" s="21" t="inlineStr"/>
      <c r="F446" s="31" t="n"/>
      <c r="G446" s="31" t="n"/>
      <c r="H446" s="31" t="n"/>
      <c r="I446" s="31" t="n"/>
      <c r="J446" s="31" t="n">
        <v>0</v>
      </c>
      <c r="K446" s="31" t="n">
        <v>0</v>
      </c>
      <c r="L446" s="31" t="n">
        <v>0</v>
      </c>
      <c r="M446" s="31" t="n">
        <v>2</v>
      </c>
      <c r="N446" s="21" t="inlineStr">
        <is>
          <t>Clinic</t>
        </is>
      </c>
      <c r="O446" s="21" t="inlineStr"/>
      <c r="P446" s="21" t="inlineStr"/>
      <c r="Q446" s="21" t="inlineStr"/>
      <c r="R446" s="40" t="n">
        <v>100</v>
      </c>
      <c r="S446" s="21" t="inlineStr">
        <is>
          <t>CP:R 361</t>
        </is>
      </c>
      <c r="T446" s="21" t="inlineStr">
        <is>
          <t>Cyberaudio Option. Can follow a linked tracer up to 1 mile away. Comes with a free button-sized linked tracer. Replacements are 50eb. Requires a Cyberaudio Suite.</t>
        </is>
      </c>
    </row>
    <row r="447">
      <c r="A447" s="21" t="inlineStr">
        <is>
          <t>Cyberaudio Suite</t>
        </is>
      </c>
      <c r="B447" s="21" t="inlineStr">
        <is>
          <t>Кибернетика</t>
        </is>
      </c>
      <c r="C447" s="21" t="inlineStr">
        <is>
          <t>Cyberaudio</t>
        </is>
      </c>
      <c r="D447" s="21" t="inlineStr"/>
      <c r="E447" s="21" t="inlineStr"/>
      <c r="F447" s="31" t="n"/>
      <c r="G447" s="31" t="n"/>
      <c r="H447" s="31" t="n"/>
      <c r="I447" s="31" t="n"/>
      <c r="J447" s="31" t="n">
        <v>0</v>
      </c>
      <c r="K447" s="31" t="n">
        <v>0</v>
      </c>
      <c r="L447" s="31" t="n">
        <v>0</v>
      </c>
      <c r="M447" s="31" t="n">
        <v>7</v>
      </c>
      <c r="N447" s="21" t="inlineStr">
        <is>
          <t>Clinic</t>
        </is>
      </c>
      <c r="O447" s="21" t="inlineStr"/>
      <c r="P447" s="21" t="inlineStr"/>
      <c r="Q447" s="21" t="inlineStr"/>
      <c r="R447" s="40" t="n">
        <v>500</v>
      </c>
      <c r="S447" s="21" t="inlineStr">
        <is>
          <t>CP:R 361</t>
        </is>
      </c>
      <c r="T447" s="21" t="inlineStr">
        <is>
          <t>Cyberaudio Suite is installed invisibly in the inner skull. System has 3 Option Slots for Cyberaudio Options. User can only have one Cyberaudio Suite installed.</t>
        </is>
      </c>
    </row>
    <row r="448">
      <c r="A448" s="21" t="inlineStr">
        <is>
          <t>Radio Scanner/Music Player</t>
        </is>
      </c>
      <c r="B448" s="21" t="inlineStr">
        <is>
          <t>Кибернетика</t>
        </is>
      </c>
      <c r="C448" s="21" t="inlineStr">
        <is>
          <t>Cyberaudio</t>
        </is>
      </c>
      <c r="D448" s="21" t="inlineStr"/>
      <c r="E448" s="21" t="inlineStr"/>
      <c r="F448" s="31" t="n"/>
      <c r="G448" s="31" t="n"/>
      <c r="H448" s="31" t="n"/>
      <c r="I448" s="31" t="n"/>
      <c r="J448" s="31" t="n">
        <v>0</v>
      </c>
      <c r="K448" s="31" t="n">
        <v>0</v>
      </c>
      <c r="L448" s="31" t="n">
        <v>0</v>
      </c>
      <c r="M448" s="31" t="n">
        <v>2</v>
      </c>
      <c r="N448" s="21" t="inlineStr">
        <is>
          <t>Clinic</t>
        </is>
      </c>
      <c r="O448" s="21" t="inlineStr"/>
      <c r="P448" s="21" t="inlineStr"/>
      <c r="Q448" s="21" t="inlineStr"/>
      <c r="R448" s="40" t="n">
        <v>50</v>
      </c>
      <c r="S448" s="21" t="inlineStr">
        <is>
          <t>CP:R 362</t>
        </is>
      </c>
      <c r="T448" s="21" t="inlineStr">
        <is>
          <t>Cyberaudio Option. User can use an Action to scan all radio bands within a mile that are currently being used and tune into them. Music player can link to the Data Pool to listen to the hottest music or play directly fro</t>
        </is>
      </c>
    </row>
    <row r="449">
      <c r="A449" s="21" t="inlineStr">
        <is>
          <t>Internal Agent</t>
        </is>
      </c>
      <c r="B449" s="21" t="inlineStr">
        <is>
          <t>Кибернетика</t>
        </is>
      </c>
      <c r="C449" s="21" t="inlineStr">
        <is>
          <t>Cyberaudio</t>
        </is>
      </c>
      <c r="D449" s="21" t="inlineStr"/>
      <c r="E449" s="21" t="inlineStr"/>
      <c r="F449" s="31" t="n"/>
      <c r="G449" s="31" t="n"/>
      <c r="H449" s="31" t="n"/>
      <c r="I449" s="31" t="n"/>
      <c r="J449" s="31" t="n">
        <v>0</v>
      </c>
      <c r="K449" s="31" t="n">
        <v>0</v>
      </c>
      <c r="L449" s="31" t="n">
        <v>0</v>
      </c>
      <c r="M449" s="31" t="n">
        <v>3</v>
      </c>
      <c r="N449" s="21" t="inlineStr">
        <is>
          <t>Mall</t>
        </is>
      </c>
      <c r="O449" s="21" t="inlineStr"/>
      <c r="P449" s="21" t="inlineStr"/>
      <c r="Q449" s="21" t="inlineStr"/>
      <c r="R449" s="40" t="n">
        <v>100</v>
      </c>
      <c r="S449" s="21" t="inlineStr">
        <is>
          <t>CP:R 362</t>
        </is>
      </c>
      <c r="T449" s="21" t="inlineStr">
        <is>
          <t>Cyberaudio Option. Fully functional Agent (See Gear Section pg. 352), controlled entirely via voice commands. Images are described, but output can be linked to a Cybereye with Chyron or a nearby screen if visual output i</t>
        </is>
      </c>
    </row>
    <row r="450">
      <c r="A450" s="21" t="inlineStr">
        <is>
          <t>Level Damper</t>
        </is>
      </c>
      <c r="B450" s="21" t="inlineStr">
        <is>
          <t>Кибернетика</t>
        </is>
      </c>
      <c r="C450" s="21" t="inlineStr">
        <is>
          <t>Cyberaudio</t>
        </is>
      </c>
      <c r="D450" s="21" t="inlineStr"/>
      <c r="E450" s="21" t="inlineStr"/>
      <c r="F450" s="31" t="n"/>
      <c r="G450" s="31" t="n"/>
      <c r="H450" s="31" t="n"/>
      <c r="I450" s="31" t="n"/>
      <c r="J450" s="31" t="n">
        <v>0</v>
      </c>
      <c r="K450" s="31" t="n">
        <v>0</v>
      </c>
      <c r="L450" s="31" t="n">
        <v>0</v>
      </c>
      <c r="M450" s="31" t="n">
        <v>2</v>
      </c>
      <c r="N450" s="21" t="inlineStr">
        <is>
          <t>Mall</t>
        </is>
      </c>
      <c r="O450" s="21" t="inlineStr"/>
      <c r="P450" s="21" t="inlineStr"/>
      <c r="Q450" s="21" t="inlineStr"/>
      <c r="R450" s="40" t="n">
        <v>100</v>
      </c>
      <c r="S450" s="21" t="inlineStr">
        <is>
          <t>CP:R 362</t>
        </is>
      </c>
      <c r="T450" s="21" t="inlineStr">
        <is>
          <t>Cyberaudio Option. Automatic noise compensation. User is immune to deafness or other effects caused by dangerously loud noises, like those produced by a flashbang. Requires a Cyberaudio Suite.</t>
        </is>
      </c>
    </row>
    <row r="451">
      <c r="A451" s="21" t="inlineStr">
        <is>
          <t>Radio Communicator</t>
        </is>
      </c>
      <c r="B451" s="21" t="inlineStr">
        <is>
          <t>Кибернетика</t>
        </is>
      </c>
      <c r="C451" s="21" t="inlineStr">
        <is>
          <t>Cyberaudio</t>
        </is>
      </c>
      <c r="D451" s="21" t="inlineStr"/>
      <c r="E451" s="21" t="inlineStr"/>
      <c r="F451" s="31" t="n"/>
      <c r="G451" s="31" t="n"/>
      <c r="H451" s="31" t="n"/>
      <c r="I451" s="31" t="n"/>
      <c r="J451" s="31" t="n">
        <v>0</v>
      </c>
      <c r="K451" s="31" t="n">
        <v>0</v>
      </c>
      <c r="L451" s="31" t="n">
        <v>0</v>
      </c>
      <c r="M451" s="31" t="n">
        <v>2</v>
      </c>
      <c r="N451" s="21" t="inlineStr">
        <is>
          <t>Mall</t>
        </is>
      </c>
      <c r="O451" s="21" t="inlineStr"/>
      <c r="P451" s="21" t="inlineStr"/>
      <c r="Q451" s="21" t="inlineStr"/>
      <c r="R451" s="40" t="n">
        <v>100</v>
      </c>
      <c r="S451" s="21" t="inlineStr">
        <is>
          <t>CP:R 362</t>
        </is>
      </c>
      <c r="T451" s="21" t="inlineStr">
        <is>
          <t>Cyberaudio Option. User can communicate via radio, 1-mile range. Requires a Cyberaudio Suite.</t>
        </is>
      </c>
    </row>
    <row r="452">
      <c r="A452" s="21" t="inlineStr">
        <is>
          <t>Scrambler/Descrambler</t>
        </is>
      </c>
      <c r="B452" s="21" t="inlineStr">
        <is>
          <t>Кибернетика</t>
        </is>
      </c>
      <c r="C452" s="21" t="inlineStr">
        <is>
          <t>Cyberaudio</t>
        </is>
      </c>
      <c r="D452" s="21" t="inlineStr"/>
      <c r="E452" s="21" t="inlineStr"/>
      <c r="F452" s="31" t="n"/>
      <c r="G452" s="31" t="n"/>
      <c r="H452" s="31" t="n"/>
      <c r="I452" s="31" t="n"/>
      <c r="J452" s="31" t="n">
        <v>0</v>
      </c>
      <c r="K452" s="31" t="n">
        <v>0</v>
      </c>
      <c r="L452" s="31" t="n">
        <v>0</v>
      </c>
      <c r="M452" s="31" t="n">
        <v>2</v>
      </c>
      <c r="N452" s="21" t="inlineStr">
        <is>
          <t>Mall</t>
        </is>
      </c>
      <c r="O452" s="21" t="inlineStr"/>
      <c r="P452" s="21" t="inlineStr"/>
      <c r="Q452" s="21" t="inlineStr"/>
      <c r="R452" s="40" t="n">
        <v>100</v>
      </c>
      <c r="S452" s="21" t="inlineStr">
        <is>
          <t>CP:R 362</t>
        </is>
      </c>
      <c r="T452" s="21" t="inlineStr">
        <is>
          <t>Cyberaudio Option. Allows user to scramble outgoing communications so they cannot be understood without a descrambler, which is also included at no extra charge. Requires a Cyberaudio Suite.</t>
        </is>
      </c>
    </row>
    <row r="453">
      <c r="A453" s="21" t="inlineStr">
        <is>
          <t>Voice Stress Analyzer</t>
        </is>
      </c>
      <c r="B453" s="21" t="inlineStr">
        <is>
          <t>Кибернетика</t>
        </is>
      </c>
      <c r="C453" s="21" t="inlineStr">
        <is>
          <t>Cyberaudio</t>
        </is>
      </c>
      <c r="D453" s="21" t="inlineStr"/>
      <c r="E453" s="21" t="inlineStr"/>
      <c r="F453" s="31" t="n"/>
      <c r="G453" s="31" t="n"/>
      <c r="H453" s="31" t="n"/>
      <c r="I453" s="31" t="n"/>
      <c r="J453" s="31" t="n">
        <v>0</v>
      </c>
      <c r="K453" s="31" t="n">
        <v>0</v>
      </c>
      <c r="L453" s="31" t="n">
        <v>0</v>
      </c>
      <c r="M453" s="31" t="n">
        <v>3</v>
      </c>
      <c r="N453" s="21" t="inlineStr">
        <is>
          <t>Mall</t>
        </is>
      </c>
      <c r="O453" s="21" t="inlineStr"/>
      <c r="P453" s="21" t="inlineStr"/>
      <c r="Q453" s="21" t="inlineStr"/>
      <c r="R453" s="40" t="n">
        <v>100</v>
      </c>
      <c r="S453" s="21" t="inlineStr">
        <is>
          <t>CP:R 362</t>
        </is>
      </c>
      <c r="T453" s="21" t="inlineStr">
        <is>
          <t>Cyberaudio Option. User adds +2 to their Human Perception and Interrogation Skills User can activate a special lie-detecting function for a minute with an Action, during which time the GM rolls all your Character's Human</t>
        </is>
      </c>
    </row>
    <row r="454">
      <c r="A454" s="21" t="inlineStr">
        <is>
          <t>Radar Detector</t>
        </is>
      </c>
      <c r="B454" s="21" t="inlineStr">
        <is>
          <t>Кибернетика</t>
        </is>
      </c>
      <c r="C454" s="21" t="inlineStr">
        <is>
          <t>Cyberaudio</t>
        </is>
      </c>
      <c r="D454" s="21" t="inlineStr"/>
      <c r="E454" s="21" t="inlineStr"/>
      <c r="F454" s="31" t="n"/>
      <c r="G454" s="31" t="n"/>
      <c r="H454" s="31" t="n"/>
      <c r="I454" s="31" t="n"/>
      <c r="J454" s="31" t="n">
        <v>0</v>
      </c>
      <c r="K454" s="31" t="n">
        <v>0</v>
      </c>
      <c r="L454" s="31" t="n">
        <v>0</v>
      </c>
      <c r="M454" s="31" t="n">
        <v>2</v>
      </c>
      <c r="N454" s="21" t="inlineStr">
        <is>
          <t>Clinic</t>
        </is>
      </c>
      <c r="O454" s="21" t="inlineStr"/>
      <c r="P454" s="21" t="inlineStr"/>
      <c r="Q454" s="21" t="inlineStr"/>
      <c r="R454" s="40" t="n">
        <v>500</v>
      </c>
      <c r="S454" s="21" t="inlineStr">
        <is>
          <t>CP:R 362</t>
        </is>
      </c>
      <c r="T454" s="21" t="inlineStr">
        <is>
          <t>Cyberaudio Option. Beeps if active radar beam is present within 100m/yds. Requires a Cyberaudio Suite.</t>
        </is>
      </c>
    </row>
    <row r="455">
      <c r="A455" s="21" t="inlineStr">
        <is>
          <t>Mediaware BrainGen Agent</t>
        </is>
      </c>
      <c r="B455" s="21" t="inlineStr">
        <is>
          <t>Кибернетика</t>
        </is>
      </c>
      <c r="C455" s="21" t="inlineStr">
        <is>
          <t>Cyberaudio</t>
        </is>
      </c>
      <c r="D455" s="21" t="inlineStr"/>
      <c r="E455" s="21" t="inlineStr"/>
      <c r="F455" s="31" t="n"/>
      <c r="G455" s="31" t="n"/>
      <c r="H455" s="31" t="n"/>
      <c r="I455" s="31" t="n"/>
      <c r="J455" s="31" t="n">
        <v>0</v>
      </c>
      <c r="K455" s="31" t="n">
        <v>0</v>
      </c>
      <c r="L455" s="31" t="n">
        <v>0</v>
      </c>
      <c r="M455" s="31" t="n">
        <v>3</v>
      </c>
      <c r="N455" s="21" t="inlineStr">
        <is>
          <t>Mall</t>
        </is>
      </c>
      <c r="O455" s="21" t="inlineStr"/>
      <c r="P455" s="21" t="inlineStr"/>
      <c r="Q455" s="21" t="inlineStr"/>
      <c r="R455" s="40" t="n">
        <v>50</v>
      </c>
      <c r="S455" s="21" t="inlineStr">
        <is>
          <t>DL:AAA 9 · IR5 31</t>
        </is>
      </c>
      <c r="T455" s="21" t="inlineStr">
        <is>
          <t>A discount Agent, cheaply made but readily available. Rumors of security exploits allowing direct access to a user’s brain are unsubstantiated and considered libelous by the company. Cyberaudio Option. Poor Quality Inter</t>
        </is>
      </c>
    </row>
    <row r="456">
      <c r="A456" s="21" t="inlineStr">
        <is>
          <t>Raven MicroCyb Drake Agent</t>
        </is>
      </c>
      <c r="B456" s="21" t="inlineStr">
        <is>
          <t>Кибернетика</t>
        </is>
      </c>
      <c r="C456" s="21" t="inlineStr">
        <is>
          <t>Cyberaudio</t>
        </is>
      </c>
      <c r="D456" s="21" t="inlineStr"/>
      <c r="E456" s="21" t="inlineStr"/>
      <c r="F456" s="31" t="n"/>
      <c r="G456" s="31" t="n"/>
      <c r="H456" s="31" t="n"/>
      <c r="I456" s="31" t="n"/>
      <c r="J456" s="31" t="n">
        <v>0</v>
      </c>
      <c r="K456" s="31" t="n">
        <v>0</v>
      </c>
      <c r="L456" s="31" t="n">
        <v>0</v>
      </c>
      <c r="M456" s="31" t="n">
        <v>3</v>
      </c>
      <c r="N456" s="21" t="inlineStr">
        <is>
          <t>Mall</t>
        </is>
      </c>
      <c r="O456" s="21" t="inlineStr"/>
      <c r="P456" s="21" t="inlineStr"/>
      <c r="Q456" s="21" t="inlineStr"/>
      <c r="R456" s="40" t="n">
        <v>100</v>
      </c>
      <c r="S456" s="21" t="inlineStr">
        <is>
          <t>DL:AAA 9 · IR5 31</t>
        </is>
      </c>
      <c r="T456" s="21" t="inlineStr">
        <is>
          <t>A common model of Internal Agent, with no stand-out features but no great weaknesses. Cyberaudio Option. Standard Quality Internal Agent.</t>
        </is>
      </c>
    </row>
    <row r="457">
      <c r="A457" s="21" t="inlineStr">
        <is>
          <t>EBM PiR2 Internal Agent</t>
        </is>
      </c>
      <c r="B457" s="21" t="inlineStr">
        <is>
          <t>Кибернетика</t>
        </is>
      </c>
      <c r="C457" s="21" t="inlineStr">
        <is>
          <t>Cyberaudio</t>
        </is>
      </c>
      <c r="D457" s="21" t="inlineStr"/>
      <c r="E457" s="21" t="inlineStr"/>
      <c r="F457" s="31" t="n"/>
      <c r="G457" s="31" t="n"/>
      <c r="H457" s="31" t="n"/>
      <c r="I457" s="31" t="n"/>
      <c r="J457" s="31" t="n">
        <v>0</v>
      </c>
      <c r="K457" s="31" t="n">
        <v>0</v>
      </c>
      <c r="L457" s="31" t="n">
        <v>0</v>
      </c>
      <c r="M457" s="31" t="n">
        <v>3</v>
      </c>
      <c r="N457" s="21" t="inlineStr">
        <is>
          <t>Mall</t>
        </is>
      </c>
      <c r="O457" s="21" t="inlineStr"/>
      <c r="P457" s="21" t="inlineStr"/>
      <c r="Q457" s="21" t="inlineStr"/>
      <c r="R457" s="40" t="n">
        <v>500</v>
      </c>
      <c r="S457" s="21" t="inlineStr">
        <is>
          <t>DL:AAA 9 · IR5 31</t>
        </is>
      </c>
      <c r="T457" s="21" t="inlineStr">
        <is>
          <t>EBM’s version of the basic Internal Agent improves reliability without increasing the risk of migraines. Cyberaudio Option. Excellent Quality Internal Agent.</t>
        </is>
      </c>
    </row>
    <row r="458">
      <c r="A458" s="21" t="inlineStr">
        <is>
          <t>Rocklin Aug Neuron Agent</t>
        </is>
      </c>
      <c r="B458" s="21" t="inlineStr">
        <is>
          <t>Кибернетика</t>
        </is>
      </c>
      <c r="C458" s="21" t="inlineStr">
        <is>
          <t>Cyberaudio</t>
        </is>
      </c>
      <c r="D458" s="21" t="inlineStr"/>
      <c r="E458" s="21" t="inlineStr"/>
      <c r="F458" s="31" t="n"/>
      <c r="G458" s="31" t="n"/>
      <c r="H458" s="31" t="n"/>
      <c r="I458" s="31" t="n"/>
      <c r="J458" s="31" t="n">
        <v>0</v>
      </c>
      <c r="K458" s="31" t="n">
        <v>0</v>
      </c>
      <c r="L458" s="31" t="n">
        <v>0</v>
      </c>
      <c r="M458" s="31" t="n">
        <v>3</v>
      </c>
      <c r="N458" s="21" t="inlineStr">
        <is>
          <t>Mall</t>
        </is>
      </c>
      <c r="O458" s="21" t="inlineStr"/>
      <c r="P458" s="21" t="inlineStr"/>
      <c r="Q458" s="21" t="inlineStr"/>
      <c r="R458" s="40" t="n">
        <v>1000</v>
      </c>
      <c r="S458" s="21" t="inlineStr">
        <is>
          <t>DL:AAA 9 · IR5 31</t>
        </is>
      </c>
      <c r="T458" s="21" t="inlineStr">
        <is>
          <t>A post-war design just hitting the market, Rocklin’s Neuron uses revolutionary new technology to project video directly via the user’s optic nerve, eliminating the need for cyberoptics. Cyberaudio Option. Excellent Quali</t>
        </is>
      </c>
    </row>
    <row r="459">
      <c r="A459" s="21" t="inlineStr">
        <is>
          <t>Cyberdeck (Poor Quality)</t>
        </is>
      </c>
      <c r="B459" s="21" t="inlineStr">
        <is>
          <t>Нэтраннинг: железо</t>
        </is>
      </c>
      <c r="C459" s="21" t="inlineStr">
        <is>
          <t>Cyberdeck</t>
        </is>
      </c>
      <c r="D459" s="21" t="inlineStr"/>
      <c r="E459" s="21" t="inlineStr"/>
      <c r="F459" s="31" t="n"/>
      <c r="G459" s="31" t="n"/>
      <c r="H459" s="31" t="n"/>
      <c r="I459" s="31" t="n"/>
      <c r="J459" s="31" t="n">
        <v>0</v>
      </c>
      <c r="K459" s="31" t="n">
        <v>0</v>
      </c>
      <c r="L459" s="31" t="n">
        <v>0</v>
      </c>
      <c r="M459" s="31" t="n">
        <v>0</v>
      </c>
      <c r="N459" s="21" t="inlineStr"/>
      <c r="O459" s="21" t="inlineStr"/>
      <c r="P459" s="21" t="inlineStr"/>
      <c r="Q459" s="21" t="inlineStr"/>
      <c r="R459" s="40" t="n">
        <v>100</v>
      </c>
      <c r="S459" s="21" t="inlineStr">
        <is>
          <t>CP:R 353</t>
        </is>
      </c>
      <c r="T459" s="21" t="inlineStr">
        <is>
          <t>A cheap modular platform that Programs and Hardware are installed on for the purpose of Netrunning. This cyberdeck has 5 slots to install Programs and Hardware. Requires Interface Plugs and Neural Link for a Netrunner to</t>
        </is>
      </c>
    </row>
    <row r="460">
      <c r="A460" s="21" t="inlineStr">
        <is>
          <t>Cyberdeck (Standard Quality)</t>
        </is>
      </c>
      <c r="B460" s="21" t="inlineStr">
        <is>
          <t>Нэтраннинг: железо</t>
        </is>
      </c>
      <c r="C460" s="21" t="inlineStr">
        <is>
          <t>Cyberdeck</t>
        </is>
      </c>
      <c r="D460" s="21" t="inlineStr"/>
      <c r="E460" s="21" t="inlineStr"/>
      <c r="F460" s="31" t="n"/>
      <c r="G460" s="31" t="n"/>
      <c r="H460" s="31" t="n"/>
      <c r="I460" s="31" t="n"/>
      <c r="J460" s="31" t="n">
        <v>0</v>
      </c>
      <c r="K460" s="31" t="n">
        <v>0</v>
      </c>
      <c r="L460" s="31" t="n">
        <v>0</v>
      </c>
      <c r="M460" s="31" t="n">
        <v>0</v>
      </c>
      <c r="N460" s="21" t="inlineStr"/>
      <c r="O460" s="21" t="inlineStr"/>
      <c r="P460" s="21" t="inlineStr"/>
      <c r="Q460" s="21" t="inlineStr"/>
      <c r="R460" s="40" t="n">
        <v>500</v>
      </c>
      <c r="S460" s="21" t="inlineStr">
        <is>
          <t>CP:R 353</t>
        </is>
      </c>
      <c r="T460" s="21" t="inlineStr">
        <is>
          <t>Modular platform that Programs and Hardware are installed on for the purpose of Netrunning. This cyberdeck has 7 slots to install Programs and Hardware. Requires Interface Plugs and Neural Link for a Netrunner to operate</t>
        </is>
      </c>
    </row>
    <row r="461">
      <c r="A461" s="21" t="inlineStr">
        <is>
          <t>Cyberdeck (Excellent Quality)</t>
        </is>
      </c>
      <c r="B461" s="21" t="inlineStr">
        <is>
          <t>Нэтраннинг: железо</t>
        </is>
      </c>
      <c r="C461" s="21" t="inlineStr">
        <is>
          <t>Cyberdeck</t>
        </is>
      </c>
      <c r="D461" s="21" t="inlineStr"/>
      <c r="E461" s="21" t="inlineStr"/>
      <c r="F461" s="31" t="n"/>
      <c r="G461" s="31" t="n"/>
      <c r="H461" s="31" t="n"/>
      <c r="I461" s="31" t="n"/>
      <c r="J461" s="31" t="n">
        <v>0</v>
      </c>
      <c r="K461" s="31" t="n">
        <v>0</v>
      </c>
      <c r="L461" s="31" t="n">
        <v>0</v>
      </c>
      <c r="M461" s="31" t="n">
        <v>0</v>
      </c>
      <c r="N461" s="21" t="inlineStr"/>
      <c r="O461" s="21" t="inlineStr"/>
      <c r="P461" s="21" t="inlineStr"/>
      <c r="Q461" s="21" t="inlineStr"/>
      <c r="R461" s="40" t="n">
        <v>1000</v>
      </c>
      <c r="S461" s="21" t="inlineStr">
        <is>
          <t>CP:R 353</t>
        </is>
      </c>
      <c r="T461" s="21" t="inlineStr">
        <is>
          <t>A high-end modular platform that Programs and Hardware are installed on for the purpose of Netrunning. This cyberdeck has 9 slots to install Programs and Hardware. Requires Interface Plugs and Neural Link for a Netrunner</t>
        </is>
      </c>
    </row>
    <row r="462">
      <c r="A462" s="21" t="inlineStr">
        <is>
          <t>Kirama Advanced Deck</t>
        </is>
      </c>
      <c r="B462" s="21" t="inlineStr">
        <is>
          <t>Нэтраннинг: железо</t>
        </is>
      </c>
      <c r="C462" s="21" t="inlineStr">
        <is>
          <t>Cyberdeck</t>
        </is>
      </c>
      <c r="D462" s="21" t="inlineStr"/>
      <c r="E462" s="21" t="inlineStr"/>
      <c r="F462" s="31" t="n"/>
      <c r="G462" s="31" t="n"/>
      <c r="H462" s="31" t="n"/>
      <c r="I462" s="31" t="n"/>
      <c r="J462" s="31" t="n">
        <v>0</v>
      </c>
      <c r="K462" s="31" t="n">
        <v>0</v>
      </c>
      <c r="L462" s="31" t="n">
        <v>0</v>
      </c>
      <c r="M462" s="31" t="n">
        <v>0</v>
      </c>
      <c r="N462" s="21" t="inlineStr"/>
      <c r="O462" s="21" t="inlineStr"/>
      <c r="P462" s="21" t="inlineStr"/>
      <c r="Q462" s="21" t="inlineStr"/>
      <c r="R462" s="40" t="n">
        <v>500</v>
      </c>
      <c r="S462" s="21" t="inlineStr">
        <is>
          <t>DL:Up 3 · IR3 39</t>
        </is>
      </c>
      <c r="T462" s="21" t="inlineStr">
        <is>
          <t xml:space="preserve">Kirama’s premier offering. To go further than this, a Netrunner must find a custom build, or try another brand. Cyberdeck with 5 slots to install either Programs or Hardware. Any unsafe Jack Out is considered instead to </t>
        </is>
      </c>
    </row>
    <row r="463">
      <c r="A463" s="21" t="inlineStr">
        <is>
          <t>Kirama Entry Deck</t>
        </is>
      </c>
      <c r="B463" s="21" t="inlineStr">
        <is>
          <t>Нэтраннинг: железо</t>
        </is>
      </c>
      <c r="C463" s="21" t="inlineStr">
        <is>
          <t>Cyberdeck</t>
        </is>
      </c>
      <c r="D463" s="21" t="inlineStr"/>
      <c r="E463" s="21" t="inlineStr"/>
      <c r="F463" s="31" t="n"/>
      <c r="G463" s="31" t="n"/>
      <c r="H463" s="31" t="n"/>
      <c r="I463" s="31" t="n"/>
      <c r="J463" s="31" t="n">
        <v>0</v>
      </c>
      <c r="K463" s="31" t="n">
        <v>0</v>
      </c>
      <c r="L463" s="31" t="n">
        <v>0</v>
      </c>
      <c r="M463" s="31" t="n">
        <v>0</v>
      </c>
      <c r="N463" s="21" t="inlineStr"/>
      <c r="O463" s="21" t="inlineStr"/>
      <c r="P463" s="21" t="inlineStr"/>
      <c r="Q463" s="21" t="inlineStr"/>
      <c r="R463" s="40" t="n">
        <v>100</v>
      </c>
      <c r="S463" s="21" t="inlineStr">
        <is>
          <t>DL:Up 3 · IR3 39</t>
        </is>
      </c>
      <c r="T463" s="21" t="inlineStr">
        <is>
          <t>Considered by many to be the safest bet on a low budget, and by others to be a trap which many novice Netrunners never grow out of. Cyberdeck with 5 slots that can only install Programs. Only one Attacker, Defender, Boos</t>
        </is>
      </c>
    </row>
    <row r="464">
      <c r="A464" s="21" t="inlineStr">
        <is>
          <t>Kirama Training Deck</t>
        </is>
      </c>
      <c r="B464" s="21" t="inlineStr">
        <is>
          <t>Нэтраннинг: железо</t>
        </is>
      </c>
      <c r="C464" s="21" t="inlineStr">
        <is>
          <t>Cyberdeck</t>
        </is>
      </c>
      <c r="D464" s="21" t="inlineStr"/>
      <c r="E464" s="21" t="inlineStr"/>
      <c r="F464" s="31" t="n"/>
      <c r="G464" s="31" t="n"/>
      <c r="H464" s="31" t="n"/>
      <c r="I464" s="31" t="n"/>
      <c r="J464" s="31" t="n">
        <v>0</v>
      </c>
      <c r="K464" s="31" t="n">
        <v>0</v>
      </c>
      <c r="L464" s="31" t="n">
        <v>0</v>
      </c>
      <c r="M464" s="31" t="n">
        <v>0</v>
      </c>
      <c r="N464" s="21" t="inlineStr"/>
      <c r="O464" s="21" t="inlineStr"/>
      <c r="P464" s="21" t="inlineStr"/>
      <c r="Q464" s="21" t="inlineStr"/>
      <c r="R464" s="40" t="n">
        <v>20</v>
      </c>
      <c r="S464" s="21" t="inlineStr">
        <is>
          <t>DL:Up 3 · IR3 39</t>
        </is>
      </c>
      <c r="T464" s="21" t="inlineStr">
        <is>
          <t xml:space="preserve">Every Netrunner’s first Cyberdeck, but an unfortunate number’s last Cyberdeck too. Cyberdeck with 5 slots that can only install Programs. While using this Cyberdeck, you must be within 2 m/yds of an access point to Jack </t>
        </is>
      </c>
    </row>
    <row r="465">
      <c r="A465" s="21" t="inlineStr">
        <is>
          <t>Microtech Assault</t>
        </is>
      </c>
      <c r="B465" s="21" t="inlineStr">
        <is>
          <t>Нэтраннинг: железо</t>
        </is>
      </c>
      <c r="C465" s="21" t="inlineStr">
        <is>
          <t>Cyberdeck</t>
        </is>
      </c>
      <c r="D465" s="21" t="inlineStr"/>
      <c r="E465" s="21" t="inlineStr"/>
      <c r="F465" s="31" t="n"/>
      <c r="G465" s="31" t="n"/>
      <c r="H465" s="31" t="n"/>
      <c r="I465" s="31" t="n"/>
      <c r="J465" s="31" t="n">
        <v>0</v>
      </c>
      <c r="K465" s="31" t="n">
        <v>0</v>
      </c>
      <c r="L465" s="31" t="n">
        <v>0</v>
      </c>
      <c r="M465" s="31" t="n">
        <v>0</v>
      </c>
      <c r="N465" s="21" t="inlineStr"/>
      <c r="O465" s="21" t="inlineStr"/>
      <c r="P465" s="21" t="inlineStr"/>
      <c r="Q465" s="21" t="inlineStr"/>
      <c r="R465" s="40" t="n">
        <v>500</v>
      </c>
      <c r="S465" s="21" t="inlineStr">
        <is>
          <t>DL:Up 3 · IR3 39</t>
        </is>
      </c>
      <c r="T465" s="21" t="inlineStr">
        <is>
          <t>If you can live within the stringent build restrictions of a Microtech Assault, then it’s a paradise, not a prison. Cyberdeck with 4 slots that can only install Programs and 5 slots that can only install Hardware. Only B</t>
        </is>
      </c>
    </row>
    <row r="466">
      <c r="A466" s="21" t="inlineStr">
        <is>
          <t>Microtech Scout</t>
        </is>
      </c>
      <c r="B466" s="21" t="inlineStr">
        <is>
          <t>Нэтраннинг: железо</t>
        </is>
      </c>
      <c r="C466" s="21" t="inlineStr">
        <is>
          <t>Cyberdeck</t>
        </is>
      </c>
      <c r="D466" s="21" t="inlineStr"/>
      <c r="E466" s="21" t="inlineStr"/>
      <c r="F466" s="31" t="n"/>
      <c r="G466" s="31" t="n"/>
      <c r="H466" s="31" t="n"/>
      <c r="I466" s="31" t="n"/>
      <c r="J466" s="31" t="n">
        <v>0</v>
      </c>
      <c r="K466" s="31" t="n">
        <v>0</v>
      </c>
      <c r="L466" s="31" t="n">
        <v>0</v>
      </c>
      <c r="M466" s="31" t="n">
        <v>0</v>
      </c>
      <c r="N466" s="21" t="inlineStr"/>
      <c r="O466" s="21" t="inlineStr"/>
      <c r="P466" s="21" t="inlineStr"/>
      <c r="Q466" s="21" t="inlineStr"/>
      <c r="R466" s="40" t="n">
        <v>500</v>
      </c>
      <c r="S466" s="21" t="inlineStr">
        <is>
          <t>DL:Up 3 · IR3 39</t>
        </is>
      </c>
      <c r="T466" s="21" t="inlineStr">
        <is>
          <t xml:space="preserve">Popular as a side-deck. Makes a great gift for the Netrunner who has everything. Everybody can find a use for another Microtech Scout. Cyberdeck with 5 slots to install either Programs or Hardware. Immediately after you </t>
        </is>
      </c>
    </row>
    <row r="467">
      <c r="A467" s="21" t="inlineStr">
        <is>
          <t>Microtech Warrior</t>
        </is>
      </c>
      <c r="B467" s="21" t="inlineStr">
        <is>
          <t>Нэтраннинг: железо</t>
        </is>
      </c>
      <c r="C467" s="21" t="inlineStr">
        <is>
          <t>Cyberdeck</t>
        </is>
      </c>
      <c r="D467" s="21" t="inlineStr"/>
      <c r="E467" s="21" t="inlineStr"/>
      <c r="F467" s="31" t="n"/>
      <c r="G467" s="31" t="n"/>
      <c r="H467" s="31" t="n"/>
      <c r="I467" s="31" t="n"/>
      <c r="J467" s="31" t="n">
        <v>0</v>
      </c>
      <c r="K467" s="31" t="n">
        <v>0</v>
      </c>
      <c r="L467" s="31" t="n">
        <v>0</v>
      </c>
      <c r="M467" s="31" t="n">
        <v>0</v>
      </c>
      <c r="N467" s="21" t="inlineStr"/>
      <c r="O467" s="21" t="inlineStr"/>
      <c r="P467" s="21" t="inlineStr"/>
      <c r="Q467" s="21" t="inlineStr"/>
      <c r="R467" s="40" t="n">
        <v>1000</v>
      </c>
      <c r="S467" s="21" t="inlineStr">
        <is>
          <t>DL:Up 3 · IR3 39 &amp; 109</t>
        </is>
      </c>
      <c r="T467" s="21" t="inlineStr">
        <is>
          <t>A hyper aggressive Cyberdeck that’s all about going straight for the kill and jacking out. Cyberdeck with 7 slots that can only install Programs. Immediately after you Jack In, you can activate an Armor Program installed</t>
        </is>
      </c>
    </row>
    <row r="468">
      <c r="A468" s="21" t="inlineStr">
        <is>
          <t>Raven Microcyb Hummingbird</t>
        </is>
      </c>
      <c r="B468" s="21" t="inlineStr">
        <is>
          <t>Нэтраннинг: железо</t>
        </is>
      </c>
      <c r="C468" s="21" t="inlineStr">
        <is>
          <t>Cyberdeck</t>
        </is>
      </c>
      <c r="D468" s="21" t="inlineStr"/>
      <c r="E468" s="21" t="inlineStr"/>
      <c r="F468" s="31" t="n"/>
      <c r="G468" s="31" t="n"/>
      <c r="H468" s="31" t="n"/>
      <c r="I468" s="31" t="n"/>
      <c r="J468" s="31" t="n">
        <v>0</v>
      </c>
      <c r="K468" s="31" t="n">
        <v>0</v>
      </c>
      <c r="L468" s="31" t="n">
        <v>0</v>
      </c>
      <c r="M468" s="31" t="n">
        <v>0</v>
      </c>
      <c r="N468" s="21" t="inlineStr"/>
      <c r="O468" s="21" t="inlineStr"/>
      <c r="P468" s="21" t="inlineStr"/>
      <c r="Q468" s="21" t="inlineStr"/>
      <c r="R468" s="40" t="n">
        <v>1000</v>
      </c>
      <c r="S468" s="21" t="inlineStr">
        <is>
          <t>DL:Up 3 · IR3 39</t>
        </is>
      </c>
      <c r="T468" s="21" t="inlineStr">
        <is>
          <t>When you want to rely solely on your abilities, Raven Microcybernetics has you covered. Cyberdeck with 2 slots that can only install Hardware. While using this Cyberdeck, you have one additional NET Action every turn.</t>
        </is>
      </c>
    </row>
    <row r="469">
      <c r="A469" s="21" t="inlineStr">
        <is>
          <t>Raven Microcyb Kestrel 2</t>
        </is>
      </c>
      <c r="B469" s="21" t="inlineStr">
        <is>
          <t>Нэтраннинг: железо</t>
        </is>
      </c>
      <c r="C469" s="21" t="inlineStr">
        <is>
          <t>Cyberdeck</t>
        </is>
      </c>
      <c r="D469" s="21" t="inlineStr"/>
      <c r="E469" s="21" t="inlineStr"/>
      <c r="F469" s="31" t="n"/>
      <c r="G469" s="31" t="n"/>
      <c r="H469" s="31" t="n"/>
      <c r="I469" s="31" t="n"/>
      <c r="J469" s="31" t="n">
        <v>0</v>
      </c>
      <c r="K469" s="31" t="n">
        <v>0</v>
      </c>
      <c r="L469" s="31" t="n">
        <v>0</v>
      </c>
      <c r="M469" s="31" t="n">
        <v>0</v>
      </c>
      <c r="N469" s="21" t="inlineStr"/>
      <c r="O469" s="21" t="inlineStr"/>
      <c r="P469" s="21" t="inlineStr"/>
      <c r="Q469" s="21" t="inlineStr"/>
      <c r="R469" s="40" t="n">
        <v>1000</v>
      </c>
      <c r="S469" s="21" t="inlineStr">
        <is>
          <t>DL:Up 3 · IR3 39 &amp; 109</t>
        </is>
      </c>
      <c r="T469" s="21" t="inlineStr">
        <is>
          <t xml:space="preserve">The Kestrel 2 is one of Raven Microcybernetics’s best selling products, probably because Netrunners love to go fast. Cyberdeck with 7 slots that can only install Programs. Immediately after you Jack In, you can activate </t>
        </is>
      </c>
    </row>
    <row r="470">
      <c r="A470" s="21" t="inlineStr">
        <is>
          <t>Raven Microcyb Phoenix</t>
        </is>
      </c>
      <c r="B470" s="21" t="inlineStr">
        <is>
          <t>Нэтраннинг: железо</t>
        </is>
      </c>
      <c r="C470" s="21" t="inlineStr">
        <is>
          <t>Cyberdeck</t>
        </is>
      </c>
      <c r="D470" s="21" t="inlineStr"/>
      <c r="E470" s="21" t="inlineStr"/>
      <c r="F470" s="31" t="n"/>
      <c r="G470" s="31" t="n"/>
      <c r="H470" s="31" t="n"/>
      <c r="I470" s="31" t="n"/>
      <c r="J470" s="31" t="n">
        <v>0</v>
      </c>
      <c r="K470" s="31" t="n">
        <v>0</v>
      </c>
      <c r="L470" s="31" t="n">
        <v>0</v>
      </c>
      <c r="M470" s="31" t="n">
        <v>0</v>
      </c>
      <c r="N470" s="21" t="inlineStr"/>
      <c r="O470" s="21" t="inlineStr"/>
      <c r="P470" s="21" t="inlineStr"/>
      <c r="Q470" s="21" t="inlineStr"/>
      <c r="R470" s="40" t="n">
        <v>1000</v>
      </c>
      <c r="S470" s="21" t="inlineStr">
        <is>
          <t>DL:Up 4 · IR3 40</t>
        </is>
      </c>
      <c r="T470" s="21" t="inlineStr">
        <is>
          <t>Yes, you could buy a top of the line custom Cyberdeck for the same price, but just think of all the money you’ll save not replacing those expensive Black ICE programs when they get Asp’d. Cyberdeck with 6 slots to instal</t>
        </is>
      </c>
    </row>
    <row r="471">
      <c r="A471" s="21" t="inlineStr">
        <is>
          <t>SGI Technologies Kerberos</t>
        </is>
      </c>
      <c r="B471" s="21" t="inlineStr">
        <is>
          <t>Нэтраннинг: железо</t>
        </is>
      </c>
      <c r="C471" s="21" t="inlineStr">
        <is>
          <t>Cyberdeck</t>
        </is>
      </c>
      <c r="D471" s="21" t="inlineStr"/>
      <c r="E471" s="21" t="inlineStr"/>
      <c r="F471" s="31" t="n"/>
      <c r="G471" s="31" t="n"/>
      <c r="H471" s="31" t="n"/>
      <c r="I471" s="31" t="n"/>
      <c r="J471" s="31" t="n">
        <v>0</v>
      </c>
      <c r="K471" s="31" t="n">
        <v>0</v>
      </c>
      <c r="L471" s="31" t="n">
        <v>0</v>
      </c>
      <c r="M471" s="31" t="n">
        <v>0</v>
      </c>
      <c r="N471" s="21" t="inlineStr"/>
      <c r="O471" s="21" t="inlineStr"/>
      <c r="P471" s="21" t="inlineStr"/>
      <c r="Q471" s="21" t="inlineStr"/>
      <c r="R471" s="40" t="n">
        <v>1000</v>
      </c>
      <c r="S471" s="21" t="inlineStr">
        <is>
          <t>DL:Up 4 · IR3 40</t>
        </is>
      </c>
      <c r="T471" s="21" t="inlineStr">
        <is>
          <t>Raw power in Cyberdeck form. Drag your enemies down to hell! Cyberdeck with 6 slots that can only install Programs, and 5 slots that can only install Hardware. Only Hellhound Black ICE can be installed in the Cyberdeck’s</t>
        </is>
      </c>
    </row>
    <row r="472">
      <c r="A472" s="21" t="inlineStr">
        <is>
          <t>SGI Technologies Verdant Knight</t>
        </is>
      </c>
      <c r="B472" s="21" t="inlineStr">
        <is>
          <t>Нэтраннинг: железо</t>
        </is>
      </c>
      <c r="C472" s="21" t="inlineStr">
        <is>
          <t>Cyberdeck</t>
        </is>
      </c>
      <c r="D472" s="21" t="inlineStr"/>
      <c r="E472" s="21" t="inlineStr"/>
      <c r="F472" s="31" t="n"/>
      <c r="G472" s="31" t="n"/>
      <c r="H472" s="31" t="n"/>
      <c r="I472" s="31" t="n"/>
      <c r="J472" s="31" t="n">
        <v>0</v>
      </c>
      <c r="K472" s="31" t="n">
        <v>0</v>
      </c>
      <c r="L472" s="31" t="n">
        <v>0</v>
      </c>
      <c r="M472" s="31" t="n">
        <v>0</v>
      </c>
      <c r="N472" s="21" t="inlineStr"/>
      <c r="O472" s="21" t="inlineStr"/>
      <c r="P472" s="21" t="inlineStr"/>
      <c r="Q472" s="21" t="inlineStr"/>
      <c r="R472" s="40" t="n">
        <v>500</v>
      </c>
      <c r="S472" s="21" t="inlineStr">
        <is>
          <t>DL:Up 4 · IR3 40</t>
        </is>
      </c>
      <c r="T472" s="21" t="inlineStr">
        <is>
          <t>Some like it for its simplicity, as a tool against AntiProgram Black ICE heavy NET Architectures. Cyberdeck with 9 slots that can only install Programs. Only Sword and Shield Programs can be installed in those Program sl</t>
        </is>
      </c>
    </row>
    <row r="473">
      <c r="A473" s="21" t="inlineStr">
        <is>
          <t>SGI Technologies Warlock’s Book</t>
        </is>
      </c>
      <c r="B473" s="21" t="inlineStr">
        <is>
          <t>Нэтраннинг: железо</t>
        </is>
      </c>
      <c r="C473" s="21" t="inlineStr">
        <is>
          <t>Cyberdeck</t>
        </is>
      </c>
      <c r="D473" s="21" t="inlineStr"/>
      <c r="E473" s="21" t="inlineStr"/>
      <c r="F473" s="31" t="n"/>
      <c r="G473" s="31" t="n"/>
      <c r="H473" s="31" t="n"/>
      <c r="I473" s="31" t="n"/>
      <c r="J473" s="31" t="n">
        <v>0</v>
      </c>
      <c r="K473" s="31" t="n">
        <v>0</v>
      </c>
      <c r="L473" s="31" t="n">
        <v>0</v>
      </c>
      <c r="M473" s="31" t="n">
        <v>0</v>
      </c>
      <c r="N473" s="21" t="inlineStr"/>
      <c r="O473" s="21" t="inlineStr"/>
      <c r="P473" s="21" t="inlineStr"/>
      <c r="Q473" s="21" t="inlineStr"/>
      <c r="R473" s="40" t="n">
        <v>500</v>
      </c>
      <c r="S473" s="21" t="inlineStr">
        <is>
          <t>DL:Up 4 · IR3 40</t>
        </is>
      </c>
      <c r="T473" s="21" t="inlineStr">
        <is>
          <t>If all you’re doing is sliding through NET Architectures, you don’t need anything else. Cyberdeck with 9 slots to install either Programs or Hardware. No Attacker or Black ICE Program may be installed.</t>
        </is>
      </c>
    </row>
    <row r="474">
      <c r="A474" s="21" t="inlineStr">
        <is>
          <t>Zetatech Kaliya</t>
        </is>
      </c>
      <c r="B474" s="21" t="inlineStr">
        <is>
          <t>Нэтраннинг: железо</t>
        </is>
      </c>
      <c r="C474" s="21" t="inlineStr">
        <is>
          <t>Cyberdeck</t>
        </is>
      </c>
      <c r="D474" s="21" t="inlineStr"/>
      <c r="E474" s="21" t="inlineStr"/>
      <c r="F474" s="31" t="n"/>
      <c r="G474" s="31" t="n"/>
      <c r="H474" s="31" t="n"/>
      <c r="I474" s="31" t="n"/>
      <c r="J474" s="31" t="n">
        <v>0</v>
      </c>
      <c r="K474" s="31" t="n">
        <v>0</v>
      </c>
      <c r="L474" s="31" t="n">
        <v>0</v>
      </c>
      <c r="M474" s="31" t="n">
        <v>0</v>
      </c>
      <c r="N474" s="21" t="inlineStr"/>
      <c r="O474" s="21" t="inlineStr"/>
      <c r="P474" s="21" t="inlineStr"/>
      <c r="Q474" s="21" t="inlineStr"/>
      <c r="R474" s="40" t="n">
        <v>500</v>
      </c>
      <c r="S474" s="21" t="inlineStr">
        <is>
          <t>DL:Up 4 · IR3 40</t>
        </is>
      </c>
      <c r="T474" s="21" t="inlineStr">
        <is>
          <t>A remarkably affordable Cyberdeck with a snake-like segmented cylindrical form factor. Cyberdeck with 3 slots that can only install Programs and 6 slots to install either Programs or Hardware. The 3 slots that can only i</t>
        </is>
      </c>
    </row>
    <row r="475">
      <c r="A475" s="21" t="inlineStr">
        <is>
          <t>Zetatech MicroMate</t>
        </is>
      </c>
      <c r="B475" s="21" t="inlineStr">
        <is>
          <t>Нэтраннинг: железо</t>
        </is>
      </c>
      <c r="C475" s="21" t="inlineStr">
        <is>
          <t>Cyberdeck</t>
        </is>
      </c>
      <c r="D475" s="21" t="inlineStr"/>
      <c r="E475" s="21" t="inlineStr"/>
      <c r="F475" s="31" t="n"/>
      <c r="G475" s="31" t="n"/>
      <c r="H475" s="31" t="n"/>
      <c r="I475" s="31" t="n"/>
      <c r="J475" s="31" t="n">
        <v>0</v>
      </c>
      <c r="K475" s="31" t="n">
        <v>0</v>
      </c>
      <c r="L475" s="31" t="n">
        <v>0</v>
      </c>
      <c r="M475" s="31" t="n">
        <v>0</v>
      </c>
      <c r="N475" s="21" t="inlineStr"/>
      <c r="O475" s="21" t="inlineStr"/>
      <c r="P475" s="21" t="inlineStr"/>
      <c r="Q475" s="21" t="inlineStr"/>
      <c r="R475" s="40" t="n">
        <v>500</v>
      </c>
      <c r="S475" s="21" t="inlineStr">
        <is>
          <t>DL:Up 4 · IR3 40</t>
        </is>
      </c>
      <c r="T475" s="21" t="inlineStr">
        <is>
          <t>A remarkable portable cyberdeck. Rumor has it that the form factor was only possible by removing important safety features from the Cyberdeck. Cyberdeck with 9 slots to install either Programs or Hardware. No Defender Pr</t>
        </is>
      </c>
    </row>
    <row r="476">
      <c r="A476" s="21" t="inlineStr">
        <is>
          <t>Zetatech Parraline 6000</t>
        </is>
      </c>
      <c r="B476" s="21" t="inlineStr">
        <is>
          <t>Нэтраннинг: железо</t>
        </is>
      </c>
      <c r="C476" s="21" t="inlineStr">
        <is>
          <t>Cyberdeck</t>
        </is>
      </c>
      <c r="D476" s="21" t="inlineStr"/>
      <c r="E476" s="21" t="inlineStr"/>
      <c r="F476" s="31" t="n"/>
      <c r="G476" s="31" t="n"/>
      <c r="H476" s="31" t="n"/>
      <c r="I476" s="31" t="n"/>
      <c r="J476" s="31" t="n">
        <v>0</v>
      </c>
      <c r="K476" s="31" t="n">
        <v>0</v>
      </c>
      <c r="L476" s="31" t="n">
        <v>0</v>
      </c>
      <c r="M476" s="31" t="n">
        <v>0</v>
      </c>
      <c r="N476" s="21" t="inlineStr"/>
      <c r="O476" s="21" t="inlineStr"/>
      <c r="P476" s="21" t="inlineStr"/>
      <c r="Q476" s="21" t="inlineStr"/>
      <c r="R476" s="40" t="n">
        <v>500</v>
      </c>
      <c r="S476" s="21" t="inlineStr">
        <is>
          <t>DL:Up 4 · IR3 40</t>
        </is>
      </c>
      <c r="T476" s="21" t="inlineStr">
        <is>
          <t>Zetatech’s flagship product, the Parraline 6000 is made exclusively for the Hardware obsessed. Cyberdeck with 3 slots that can only install Programs and 6 slots that can only install Hardware.</t>
        </is>
      </c>
    </row>
    <row r="477">
      <c r="A477" s="21" t="inlineStr">
        <is>
          <t>Aerie</t>
        </is>
      </c>
      <c r="B477" s="21" t="inlineStr">
        <is>
          <t>Нэтраннинг: железо</t>
        </is>
      </c>
      <c r="C477" s="21" t="inlineStr">
        <is>
          <t>Cyberdeck Hardware</t>
        </is>
      </c>
      <c r="D477" s="21" t="inlineStr"/>
      <c r="E477" s="21" t="inlineStr"/>
      <c r="F477" s="31" t="n"/>
      <c r="G477" s="31" t="n"/>
      <c r="H477" s="31" t="n"/>
      <c r="I477" s="31" t="n"/>
      <c r="J477" s="31" t="n">
        <v>0</v>
      </c>
      <c r="K477" s="31" t="n">
        <v>0</v>
      </c>
      <c r="L477" s="31" t="n">
        <v>0</v>
      </c>
      <c r="M477" s="31" t="n">
        <v>0</v>
      </c>
      <c r="N477" s="21" t="inlineStr"/>
      <c r="O477" s="21" t="inlineStr"/>
      <c r="P477" s="21" t="inlineStr"/>
      <c r="Q477" s="21" t="inlineStr"/>
      <c r="R477" s="40" t="n">
        <v>500</v>
      </c>
      <c r="S477" s="21" t="inlineStr">
        <is>
          <t>DL:Up 5 · IR3 40</t>
        </is>
      </c>
      <c r="T477" s="21" t="inlineStr">
        <is>
          <t>Extra processing power, dedicated to increasing the output of Raven Black ICE. Cyberdeck Hardware. While installed, each Raven Black ICE installed on your Cyberdeck destroys a Defender Program the enemy Netrunner has Rez</t>
        </is>
      </c>
    </row>
    <row r="478">
      <c r="A478" s="21" t="inlineStr">
        <is>
          <t>Backup Drive</t>
        </is>
      </c>
      <c r="B478" s="21" t="inlineStr">
        <is>
          <t>Нэтраннинг: железо</t>
        </is>
      </c>
      <c r="C478" s="21" t="inlineStr">
        <is>
          <t>Cyberdeck Hardware</t>
        </is>
      </c>
      <c r="D478" s="21" t="inlineStr"/>
      <c r="E478" s="21" t="inlineStr"/>
      <c r="F478" s="31" t="n"/>
      <c r="G478" s="31" t="n"/>
      <c r="H478" s="31" t="n"/>
      <c r="I478" s="31" t="n"/>
      <c r="J478" s="31" t="n">
        <v>0</v>
      </c>
      <c r="K478" s="31" t="n">
        <v>0</v>
      </c>
      <c r="L478" s="31" t="n">
        <v>0</v>
      </c>
      <c r="M478" s="31" t="n">
        <v>0</v>
      </c>
      <c r="N478" s="21" t="inlineStr"/>
      <c r="O478" s="21" t="inlineStr"/>
      <c r="P478" s="21" t="inlineStr"/>
      <c r="Q478" s="21" t="inlineStr"/>
      <c r="R478" s="40" t="n">
        <v>100</v>
      </c>
      <c r="S478" s="21" t="inlineStr">
        <is>
          <t>CP:R 368</t>
        </is>
      </c>
      <c r="T478" s="21" t="inlineStr">
        <is>
          <t>While installed on a Cyberdeck, a Backup Drive "saves" Non-Black ICE Attacker, Defender, or Booster Programs that are destroyed by pulling them into the Backup Drive the instant before they meet their end. As a Meat Acti</t>
        </is>
      </c>
    </row>
    <row r="479">
      <c r="A479" s="21" t="inlineStr">
        <is>
          <t>Bushido Accelerator</t>
        </is>
      </c>
      <c r="B479" s="21" t="inlineStr">
        <is>
          <t>Нэтраннинг: железо</t>
        </is>
      </c>
      <c r="C479" s="21" t="inlineStr">
        <is>
          <t>Cyberdeck Hardware</t>
        </is>
      </c>
      <c r="D479" s="21" t="inlineStr"/>
      <c r="E479" s="21" t="inlineStr"/>
      <c r="F479" s="31" t="n"/>
      <c r="G479" s="31" t="n"/>
      <c r="H479" s="31" t="n"/>
      <c r="I479" s="31" t="n"/>
      <c r="J479" s="31" t="n">
        <v>0</v>
      </c>
      <c r="K479" s="31" t="n">
        <v>0</v>
      </c>
      <c r="L479" s="31" t="n">
        <v>0</v>
      </c>
      <c r="M479" s="31" t="n">
        <v>0</v>
      </c>
      <c r="N479" s="21" t="inlineStr"/>
      <c r="O479" s="21" t="inlineStr"/>
      <c r="P479" s="21" t="inlineStr"/>
      <c r="Q479" s="21" t="inlineStr"/>
      <c r="R479" s="40" t="n">
        <v>500</v>
      </c>
      <c r="S479" s="21" t="inlineStr">
        <is>
          <t>DL:Up 5 · IR3 41</t>
        </is>
      </c>
      <c r="T479" s="21" t="inlineStr">
        <is>
          <t>Space inefficient Hardware which overclocks Killer Black ICE at any cost, originally developed in Tokyo by an unnamed Netrunner/Tech. Cyberdeck Hardware. For each Bushido Accelerator installed, the Speed (SPD) of all Kil</t>
        </is>
      </c>
    </row>
    <row r="480">
      <c r="A480" s="21" t="inlineStr">
        <is>
          <t>Combat Recorder</t>
        </is>
      </c>
      <c r="B480" s="21" t="inlineStr">
        <is>
          <t>Нэтраннинг: железо</t>
        </is>
      </c>
      <c r="C480" s="21" t="inlineStr">
        <is>
          <t>Cyberdeck Hardware</t>
        </is>
      </c>
      <c r="D480" s="21" t="inlineStr"/>
      <c r="E480" s="21" t="inlineStr"/>
      <c r="F480" s="31" t="n"/>
      <c r="G480" s="31" t="n"/>
      <c r="H480" s="31" t="n"/>
      <c r="I480" s="31" t="n"/>
      <c r="J480" s="31" t="n">
        <v>0</v>
      </c>
      <c r="K480" s="31" t="n">
        <v>0</v>
      </c>
      <c r="L480" s="31" t="n">
        <v>0</v>
      </c>
      <c r="M480" s="31" t="n">
        <v>0</v>
      </c>
      <c r="N480" s="21" t="inlineStr"/>
      <c r="O480" s="21" t="inlineStr"/>
      <c r="P480" s="21" t="inlineStr"/>
      <c r="Q480" s="21" t="inlineStr"/>
      <c r="R480" s="40" t="n">
        <v>500</v>
      </c>
      <c r="S480" s="21" t="inlineStr">
        <is>
          <t>DL:Up 5 · IR3 41</t>
        </is>
      </c>
      <c r="T480" s="21" t="inlineStr">
        <is>
          <t>Originally created by NetWatch for policing the Old NET, Combat Recorders now pave the way for advances in Anti-Personnel Black ICE. Nothing can replace real world product testing. Cyberdeck Hardware. While installed, wh</t>
        </is>
      </c>
    </row>
    <row r="481">
      <c r="A481" s="21" t="inlineStr">
        <is>
          <t>Crunch Whistle</t>
        </is>
      </c>
      <c r="B481" s="21" t="inlineStr">
        <is>
          <t>Нэтраннинг: железо</t>
        </is>
      </c>
      <c r="C481" s="21" t="inlineStr">
        <is>
          <t>Cyberdeck Hardware</t>
        </is>
      </c>
      <c r="D481" s="21" t="inlineStr"/>
      <c r="E481" s="21" t="inlineStr"/>
      <c r="F481" s="31" t="n"/>
      <c r="G481" s="31" t="n"/>
      <c r="H481" s="31" t="n"/>
      <c r="I481" s="31" t="n"/>
      <c r="J481" s="31" t="n">
        <v>0</v>
      </c>
      <c r="K481" s="31" t="n">
        <v>0</v>
      </c>
      <c r="L481" s="31" t="n">
        <v>0</v>
      </c>
      <c r="M481" s="31" t="n">
        <v>0</v>
      </c>
      <c r="N481" s="21" t="inlineStr"/>
      <c r="O481" s="21" t="inlineStr"/>
      <c r="P481" s="21" t="inlineStr"/>
      <c r="Q481" s="21" t="inlineStr"/>
      <c r="R481" s="40" t="n">
        <v>100</v>
      </c>
      <c r="S481" s="21" t="inlineStr">
        <is>
          <t>DL:AAA 7 · T:Hope 179 · IR5 29</t>
        </is>
      </c>
      <c r="T481" s="21" t="inlineStr">
        <is>
          <t xml:space="preserve">A modern take on an ancient hacking tool. Cyberdeck Hardware Option. A Crunch Whistle connects a Netrunner’s Cyberdeck to a Breacher, allowing them to add their Interface Rank to Electronics/Security Checks made to hack </t>
        </is>
      </c>
    </row>
    <row r="482">
      <c r="A482" s="21" t="inlineStr">
        <is>
          <t>Defense Sequencer</t>
        </is>
      </c>
      <c r="B482" s="21" t="inlineStr">
        <is>
          <t>Нэтраннинг: железо</t>
        </is>
      </c>
      <c r="C482" s="21" t="inlineStr">
        <is>
          <t>Cyberdeck Hardware</t>
        </is>
      </c>
      <c r="D482" s="21" t="inlineStr"/>
      <c r="E482" s="21" t="inlineStr"/>
      <c r="F482" s="31" t="n"/>
      <c r="G482" s="31" t="n"/>
      <c r="H482" s="31" t="n"/>
      <c r="I482" s="31" t="n"/>
      <c r="J482" s="31" t="n">
        <v>0</v>
      </c>
      <c r="K482" s="31" t="n">
        <v>0</v>
      </c>
      <c r="L482" s="31" t="n">
        <v>0</v>
      </c>
      <c r="M482" s="31" t="n">
        <v>0</v>
      </c>
      <c r="N482" s="21" t="inlineStr"/>
      <c r="O482" s="21" t="inlineStr"/>
      <c r="P482" s="21" t="inlineStr"/>
      <c r="Q482" s="21" t="inlineStr"/>
      <c r="R482" s="40" t="n">
        <v>500</v>
      </c>
      <c r="S482" s="21" t="inlineStr">
        <is>
          <t>DL:Up 5 · IR3 41</t>
        </is>
      </c>
      <c r="T482" s="21" t="inlineStr">
        <is>
          <t xml:space="preserve">Popular Hardware that saves a Netrunner precious time during particularly dangerous runs. Cyberdeck Hardware. While installed, a Defense Sequencer automatically rezzes an Armor Program installed on your Cyberdeck at the </t>
        </is>
      </c>
    </row>
    <row r="483">
      <c r="A483" s="21" t="inlineStr">
        <is>
          <t>DNA Lock</t>
        </is>
      </c>
      <c r="B483" s="21" t="inlineStr">
        <is>
          <t>Нэтраннинг: железо</t>
        </is>
      </c>
      <c r="C483" s="21" t="inlineStr">
        <is>
          <t>Cyberdeck Hardware</t>
        </is>
      </c>
      <c r="D483" s="21" t="inlineStr"/>
      <c r="E483" s="21" t="inlineStr"/>
      <c r="F483" s="31" t="n"/>
      <c r="G483" s="31" t="n"/>
      <c r="H483" s="31" t="n"/>
      <c r="I483" s="31" t="n"/>
      <c r="J483" s="31" t="n">
        <v>0</v>
      </c>
      <c r="K483" s="31" t="n">
        <v>0</v>
      </c>
      <c r="L483" s="31" t="n">
        <v>0</v>
      </c>
      <c r="M483" s="31" t="n">
        <v>0</v>
      </c>
      <c r="N483" s="21" t="inlineStr"/>
      <c r="O483" s="21" t="inlineStr"/>
      <c r="P483" s="21" t="inlineStr"/>
      <c r="Q483" s="21" t="inlineStr"/>
      <c r="R483" s="40" t="n">
        <v>100</v>
      </c>
      <c r="S483" s="21" t="inlineStr">
        <is>
          <t>CP:R 368</t>
        </is>
      </c>
      <c r="T483" s="21" t="inlineStr">
        <is>
          <t>A Cyberdeck with a DNA Lock can be locked and unlocked using a thumbprint, iris scan, blood sample, or any other biometric method desired. The method varies depending on the model of the DNA Lock. A locked Cyberdeck cann</t>
        </is>
      </c>
    </row>
    <row r="484">
      <c r="A484" s="21" t="inlineStr">
        <is>
          <t>Feline Instinct</t>
        </is>
      </c>
      <c r="B484" s="21" t="inlineStr">
        <is>
          <t>Нэтраннинг: железо</t>
        </is>
      </c>
      <c r="C484" s="21" t="inlineStr">
        <is>
          <t>Cyberdeck Hardware</t>
        </is>
      </c>
      <c r="D484" s="21" t="inlineStr"/>
      <c r="E484" s="21" t="inlineStr"/>
      <c r="F484" s="31" t="n"/>
      <c r="G484" s="31" t="n"/>
      <c r="H484" s="31" t="n"/>
      <c r="I484" s="31" t="n"/>
      <c r="J484" s="31" t="n">
        <v>0</v>
      </c>
      <c r="K484" s="31" t="n">
        <v>0</v>
      </c>
      <c r="L484" s="31" t="n">
        <v>0</v>
      </c>
      <c r="M484" s="31" t="n">
        <v>0</v>
      </c>
      <c r="N484" s="21" t="inlineStr"/>
      <c r="O484" s="21" t="inlineStr"/>
      <c r="P484" s="21" t="inlineStr"/>
      <c r="Q484" s="21" t="inlineStr"/>
      <c r="R484" s="40" t="n">
        <v>500</v>
      </c>
      <c r="S484" s="21" t="inlineStr">
        <is>
          <t>DL:Up 5 · IR3 41</t>
        </is>
      </c>
      <c r="T484" s="21" t="inlineStr">
        <is>
          <t>Homegrown Night City Hardware that hit a Night Market in Little Europe last month. Taking it apart, you can see bits of Bushido Accelerator upgraded, and re-wired. No word on who did it, though. Cyberdeck Hardware. While</t>
        </is>
      </c>
    </row>
    <row r="485">
      <c r="A485" s="21" t="inlineStr">
        <is>
          <t>Hangry Hangry Dragon</t>
        </is>
      </c>
      <c r="B485" s="21" t="inlineStr">
        <is>
          <t>Нэтраннинг: железо</t>
        </is>
      </c>
      <c r="C485" s="21" t="inlineStr">
        <is>
          <t>Cyberdeck Hardware</t>
        </is>
      </c>
      <c r="D485" s="21" t="inlineStr"/>
      <c r="E485" s="21" t="inlineStr"/>
      <c r="F485" s="31" t="n"/>
      <c r="G485" s="31" t="n"/>
      <c r="H485" s="31" t="n"/>
      <c r="I485" s="31" t="n"/>
      <c r="J485" s="31" t="n">
        <v>0</v>
      </c>
      <c r="K485" s="31" t="n">
        <v>0</v>
      </c>
      <c r="L485" s="31" t="n">
        <v>0</v>
      </c>
      <c r="M485" s="31" t="n">
        <v>0</v>
      </c>
      <c r="N485" s="21" t="inlineStr"/>
      <c r="O485" s="21" t="inlineStr"/>
      <c r="P485" s="21" t="inlineStr"/>
      <c r="Q485" s="21" t="inlineStr"/>
      <c r="R485" s="40" t="n">
        <v>500</v>
      </c>
      <c r="S485" s="21" t="inlineStr">
        <is>
          <t>DL:Up 5 · IR3 41</t>
        </is>
      </c>
      <c r="T485" s="21" t="inlineStr">
        <is>
          <t>Extra memory, devoted entirely to making Dragon Black ICE a defensive nightmare. Cyberdeck Hardware. While installed, whenever Dragon Black ICE installed on your Cyberdeck destroys a program, its Rez is restored to maxim</t>
        </is>
      </c>
    </row>
    <row r="486">
      <c r="A486" s="21" t="inlineStr">
        <is>
          <t>Hardened Circuitery</t>
        </is>
      </c>
      <c r="B486" s="21" t="inlineStr">
        <is>
          <t>Нэтраннинг: железо</t>
        </is>
      </c>
      <c r="C486" s="21" t="inlineStr">
        <is>
          <t>Cyberdeck Hardware</t>
        </is>
      </c>
      <c r="D486" s="21" t="inlineStr"/>
      <c r="E486" s="21" t="inlineStr"/>
      <c r="F486" s="31" t="n"/>
      <c r="G486" s="31" t="n"/>
      <c r="H486" s="31" t="n"/>
      <c r="I486" s="31" t="n"/>
      <c r="J486" s="31" t="n">
        <v>0</v>
      </c>
      <c r="K486" s="31" t="n">
        <v>0</v>
      </c>
      <c r="L486" s="31" t="n">
        <v>0</v>
      </c>
      <c r="M486" s="31" t="n">
        <v>0</v>
      </c>
      <c r="N486" s="21" t="inlineStr"/>
      <c r="O486" s="21" t="inlineStr"/>
      <c r="P486" s="21" t="inlineStr"/>
      <c r="Q486" s="21" t="inlineStr"/>
      <c r="R486" s="40" t="n">
        <v>100</v>
      </c>
      <c r="S486" s="21" t="inlineStr">
        <is>
          <t>CP:R 368</t>
        </is>
      </c>
      <c r="T486" s="21" t="inlineStr">
        <is>
          <t>A Cyberdeck with Hardened Circuitry cannot be rendered temporarily disabled, rendered inoperable, or destroyed by EMP effects like pulses, or Non-Black ICE Program Effects.</t>
        </is>
      </c>
    </row>
    <row r="487">
      <c r="A487" s="21" t="inlineStr">
        <is>
          <t>Insulated Wiring</t>
        </is>
      </c>
      <c r="B487" s="21" t="inlineStr">
        <is>
          <t>Нэтраннинг: железо</t>
        </is>
      </c>
      <c r="C487" s="21" t="inlineStr">
        <is>
          <t>Cyberdeck Hardware</t>
        </is>
      </c>
      <c r="D487" s="21" t="inlineStr"/>
      <c r="E487" s="21" t="inlineStr"/>
      <c r="F487" s="31" t="n"/>
      <c r="G487" s="31" t="n"/>
      <c r="H487" s="31" t="n"/>
      <c r="I487" s="31" t="n"/>
      <c r="J487" s="31" t="n">
        <v>0</v>
      </c>
      <c r="K487" s="31" t="n">
        <v>0</v>
      </c>
      <c r="L487" s="31" t="n">
        <v>0</v>
      </c>
      <c r="M487" s="31" t="n">
        <v>0</v>
      </c>
      <c r="N487" s="21" t="inlineStr"/>
      <c r="O487" s="21" t="inlineStr"/>
      <c r="P487" s="21" t="inlineStr"/>
      <c r="Q487" s="21" t="inlineStr"/>
      <c r="R487" s="40" t="n">
        <v>100</v>
      </c>
      <c r="S487" s="21" t="inlineStr">
        <is>
          <t>CP:R 368</t>
        </is>
      </c>
      <c r="T487" s="21" t="inlineStr">
        <is>
          <t>A Cyberdeck with Insulated Wiring cannot catch fire or cause the user's clothing to catch fire as the result of a Program effect.</t>
        </is>
      </c>
    </row>
    <row r="488">
      <c r="A488" s="21" t="inlineStr">
        <is>
          <t>KRASH Barrier</t>
        </is>
      </c>
      <c r="B488" s="21" t="inlineStr">
        <is>
          <t>Нэтраннинг: железо</t>
        </is>
      </c>
      <c r="C488" s="21" t="inlineStr">
        <is>
          <t>Cyberdeck Hardware</t>
        </is>
      </c>
      <c r="D488" s="21" t="inlineStr"/>
      <c r="E488" s="21" t="inlineStr"/>
      <c r="F488" s="31" t="n"/>
      <c r="G488" s="31" t="n"/>
      <c r="H488" s="31" t="n"/>
      <c r="I488" s="31" t="n"/>
      <c r="J488" s="31" t="n">
        <v>0</v>
      </c>
      <c r="K488" s="31" t="n">
        <v>0</v>
      </c>
      <c r="L488" s="31" t="n">
        <v>0</v>
      </c>
      <c r="M488" s="31" t="n">
        <v>0</v>
      </c>
      <c r="N488" s="21" t="inlineStr"/>
      <c r="O488" s="21" t="inlineStr"/>
      <c r="P488" s="21" t="inlineStr"/>
      <c r="Q488" s="21" t="inlineStr"/>
      <c r="R488" s="40" t="n">
        <v>100</v>
      </c>
      <c r="S488" s="21" t="inlineStr">
        <is>
          <t>CP:R 368</t>
        </is>
      </c>
      <c r="T488" s="21" t="inlineStr">
        <is>
          <t>A Cyberdeck with a KRASH Barrier is immune to any Program Effect that force the Netrunner to Jack Out, safely or unsafely. Takes 2 Hardware Option Slots.</t>
        </is>
      </c>
    </row>
    <row r="489">
      <c r="A489" s="21" t="inlineStr">
        <is>
          <t>Perfume Shoppe</t>
        </is>
      </c>
      <c r="B489" s="21" t="inlineStr">
        <is>
          <t>Нэтраннинг: железо</t>
        </is>
      </c>
      <c r="C489" s="21" t="inlineStr">
        <is>
          <t>Cyberdeck Hardware</t>
        </is>
      </c>
      <c r="D489" s="21" t="inlineStr"/>
      <c r="E489" s="21" t="inlineStr"/>
      <c r="F489" s="31" t="n"/>
      <c r="G489" s="31" t="n"/>
      <c r="H489" s="31" t="n"/>
      <c r="I489" s="31" t="n"/>
      <c r="J489" s="31" t="n">
        <v>0</v>
      </c>
      <c r="K489" s="31" t="n">
        <v>0</v>
      </c>
      <c r="L489" s="31" t="n">
        <v>0</v>
      </c>
      <c r="M489" s="31" t="n">
        <v>0</v>
      </c>
      <c r="N489" s="21" t="inlineStr"/>
      <c r="O489" s="21" t="inlineStr"/>
      <c r="P489" s="21" t="inlineStr"/>
      <c r="Q489" s="21" t="inlineStr"/>
      <c r="R489" s="40" t="n">
        <v>500</v>
      </c>
      <c r="S489" s="21" t="inlineStr">
        <is>
          <t>DL:Up 5 · IR3 41</t>
        </is>
      </c>
      <c r="T489" s="21" t="inlineStr">
        <is>
          <t>Hardware favored by sysadmin Netrunners. Too expensive for the benefit it provides, but usually purchased using corporate money that couldn’t give a damn. Cyberdeck Hardware. While installed, Skunk Black ICE Programs tak</t>
        </is>
      </c>
    </row>
    <row r="490">
      <c r="A490" s="21" t="inlineStr">
        <is>
          <t>Range Upgrade</t>
        </is>
      </c>
      <c r="B490" s="21" t="inlineStr">
        <is>
          <t>Нэтраннинг: железо</t>
        </is>
      </c>
      <c r="C490" s="21" t="inlineStr">
        <is>
          <t>Cyberdeck Hardware</t>
        </is>
      </c>
      <c r="D490" s="21" t="inlineStr"/>
      <c r="E490" s="21" t="inlineStr"/>
      <c r="F490" s="31" t="n"/>
      <c r="G490" s="31" t="n"/>
      <c r="H490" s="31" t="n"/>
      <c r="I490" s="31" t="n"/>
      <c r="J490" s="31" t="n">
        <v>0</v>
      </c>
      <c r="K490" s="31" t="n">
        <v>0</v>
      </c>
      <c r="L490" s="31" t="n">
        <v>0</v>
      </c>
      <c r="M490" s="31" t="n">
        <v>0</v>
      </c>
      <c r="N490" s="21" t="inlineStr"/>
      <c r="O490" s="21" t="inlineStr"/>
      <c r="P490" s="21" t="inlineStr"/>
      <c r="Q490" s="21" t="inlineStr"/>
      <c r="R490" s="40" t="n">
        <v>100</v>
      </c>
      <c r="S490" s="21" t="inlineStr">
        <is>
          <t>CP:R 368</t>
        </is>
      </c>
      <c r="T490" s="21" t="inlineStr">
        <is>
          <t>A Cyberdeck with a Range Upgrade can connect to an access point from up to 8m away.</t>
        </is>
      </c>
    </row>
    <row r="491">
      <c r="A491" s="21" t="inlineStr">
        <is>
          <t>Smithy</t>
        </is>
      </c>
      <c r="B491" s="21" t="inlineStr">
        <is>
          <t>Нэтраннинг: железо</t>
        </is>
      </c>
      <c r="C491" s="21" t="inlineStr">
        <is>
          <t>Cyberdeck Hardware</t>
        </is>
      </c>
      <c r="D491" s="21" t="inlineStr"/>
      <c r="E491" s="21" t="inlineStr"/>
      <c r="F491" s="31" t="n"/>
      <c r="G491" s="31" t="n"/>
      <c r="H491" s="31" t="n"/>
      <c r="I491" s="31" t="n"/>
      <c r="J491" s="31" t="n">
        <v>0</v>
      </c>
      <c r="K491" s="31" t="n">
        <v>0</v>
      </c>
      <c r="L491" s="31" t="n">
        <v>0</v>
      </c>
      <c r="M491" s="31" t="n">
        <v>0</v>
      </c>
      <c r="N491" s="21" t="inlineStr"/>
      <c r="O491" s="21" t="inlineStr"/>
      <c r="P491" s="21" t="inlineStr"/>
      <c r="Q491" s="21" t="inlineStr"/>
      <c r="R491" s="40" t="n">
        <v>500</v>
      </c>
      <c r="S491" s="21" t="inlineStr">
        <is>
          <t>DL:Up 5 · IR3 41</t>
        </is>
      </c>
      <c r="T491" s="21" t="inlineStr">
        <is>
          <t>A small, easy to install piece of hardware popular among Netrunners who enjoy building multifunctional Cybedecks. Cyberdeck Hardware. While installed, as a Meat Action, you may convert all installed Sword Programs into B</t>
        </is>
      </c>
    </row>
    <row r="492">
      <c r="A492" s="21" t="inlineStr">
        <is>
          <t>Snaketrap</t>
        </is>
      </c>
      <c r="B492" s="21" t="inlineStr">
        <is>
          <t>Нэтраннинг: железо</t>
        </is>
      </c>
      <c r="C492" s="21" t="inlineStr">
        <is>
          <t>Cyberdeck Hardware</t>
        </is>
      </c>
      <c r="D492" s="21" t="inlineStr"/>
      <c r="E492" s="21" t="inlineStr"/>
      <c r="F492" s="31" t="n"/>
      <c r="G492" s="31" t="n"/>
      <c r="H492" s="31" t="n"/>
      <c r="I492" s="31" t="n"/>
      <c r="J492" s="31" t="n">
        <v>0</v>
      </c>
      <c r="K492" s="31" t="n">
        <v>0</v>
      </c>
      <c r="L492" s="31" t="n">
        <v>0</v>
      </c>
      <c r="M492" s="31" t="n">
        <v>0</v>
      </c>
      <c r="N492" s="21" t="inlineStr"/>
      <c r="O492" s="21" t="inlineStr"/>
      <c r="P492" s="21" t="inlineStr"/>
      <c r="Q492" s="21" t="inlineStr"/>
      <c r="R492" s="40" t="n">
        <v>500</v>
      </c>
      <c r="S492" s="21" t="inlineStr">
        <is>
          <t>DL:Up 6 · IR3 41 &amp; 109</t>
        </is>
      </c>
      <c r="T492" s="21" t="inlineStr">
        <is>
          <t>In just one use, this Hardware pays for itself, possibly twice over. It’s considered cowardly to jack out right after, but it’s also quite thrifty, so who cares what people think? Cyberdeck Hardware. While installed, a S</t>
        </is>
      </c>
    </row>
    <row r="493">
      <c r="A493" s="21" t="inlineStr">
        <is>
          <t>Swamp Mist</t>
        </is>
      </c>
      <c r="B493" s="21" t="inlineStr">
        <is>
          <t>Нэтраннинг: железо</t>
        </is>
      </c>
      <c r="C493" s="21" t="inlineStr">
        <is>
          <t>Cyberdeck Hardware</t>
        </is>
      </c>
      <c r="D493" s="21" t="inlineStr"/>
      <c r="E493" s="21" t="inlineStr"/>
      <c r="F493" s="31" t="n"/>
      <c r="G493" s="31" t="n"/>
      <c r="H493" s="31" t="n"/>
      <c r="I493" s="31" t="n"/>
      <c r="J493" s="31" t="n">
        <v>0</v>
      </c>
      <c r="K493" s="31" t="n">
        <v>0</v>
      </c>
      <c r="L493" s="31" t="n">
        <v>0</v>
      </c>
      <c r="M493" s="31" t="n">
        <v>0</v>
      </c>
      <c r="N493" s="21" t="inlineStr"/>
      <c r="O493" s="21" t="inlineStr"/>
      <c r="P493" s="21" t="inlineStr"/>
      <c r="Q493" s="21" t="inlineStr"/>
      <c r="R493" s="40" t="n">
        <v>500</v>
      </c>
      <c r="S493" s="21" t="inlineStr">
        <is>
          <t>DL:Up 6IR3 41 · IR3 42</t>
        </is>
      </c>
      <c r="T493" s="21" t="inlineStr">
        <is>
          <t>Another homegrown Night City Hardware made from rewiring pieces of Bushido Accelerator Hardware to remap Wisp Black ICE into a more powerful format at the cost of efficiency. Cyberdeck Hardware. While installed, Wisp Bla</t>
        </is>
      </c>
    </row>
    <row r="494">
      <c r="A494" s="21" t="inlineStr">
        <is>
          <t>Swifty Clean</t>
        </is>
      </c>
      <c r="B494" s="21" t="inlineStr">
        <is>
          <t>Нэтраннинг: железо</t>
        </is>
      </c>
      <c r="C494" s="21" t="inlineStr">
        <is>
          <t>Cyberdeck Hardware</t>
        </is>
      </c>
      <c r="D494" s="21" t="inlineStr"/>
      <c r="E494" s="21" t="inlineStr"/>
      <c r="F494" s="31" t="n"/>
      <c r="G494" s="31" t="n"/>
      <c r="H494" s="31" t="n"/>
      <c r="I494" s="31" t="n"/>
      <c r="J494" s="31" t="n">
        <v>0</v>
      </c>
      <c r="K494" s="31" t="n">
        <v>0</v>
      </c>
      <c r="L494" s="31" t="n">
        <v>0</v>
      </c>
      <c r="M494" s="31" t="n">
        <v>0</v>
      </c>
      <c r="N494" s="21" t="inlineStr"/>
      <c r="O494" s="21" t="inlineStr"/>
      <c r="P494" s="21" t="inlineStr"/>
      <c r="Q494" s="21" t="inlineStr"/>
      <c r="R494" s="40" t="n">
        <v>500</v>
      </c>
      <c r="S494" s="21" t="inlineStr">
        <is>
          <t>DL:Up 6 · IR3 42 &amp; 109</t>
        </is>
      </c>
      <c r="T494" s="21" t="inlineStr">
        <is>
          <t>Another time saving piece of Hardware, useful for Netrunners in situations where they wouldn’t have the time to cover their tracks well otherwise. For example, when they are being shot at. Cyberdeck Hardware. While insta</t>
        </is>
      </c>
    </row>
    <row r="495">
      <c r="A495" s="21" t="inlineStr">
        <is>
          <t>Airhypo Cyberfinger</t>
        </is>
      </c>
      <c r="B495" s="21" t="inlineStr">
        <is>
          <t>Кибернетика</t>
        </is>
      </c>
      <c r="C495" s="21" t="inlineStr">
        <is>
          <t>Cyberfingers</t>
        </is>
      </c>
      <c r="D495" s="21" t="inlineStr"/>
      <c r="E495" s="21" t="inlineStr"/>
      <c r="F495" s="31" t="n"/>
      <c r="G495" s="31" t="n"/>
      <c r="H495" s="31" t="n"/>
      <c r="I495" s="31" t="n"/>
      <c r="J495" s="31" t="n">
        <v>0</v>
      </c>
      <c r="K495" s="31" t="n">
        <v>0</v>
      </c>
      <c r="L495" s="31" t="n">
        <v>0</v>
      </c>
      <c r="M495" s="31" t="n">
        <v>3</v>
      </c>
      <c r="N495" s="21" t="inlineStr">
        <is>
          <t>Mall</t>
        </is>
      </c>
      <c r="O495" s="21" t="inlineStr"/>
      <c r="P495" s="21" t="inlineStr"/>
      <c r="Q495" s="21" t="inlineStr"/>
      <c r="R495" s="40" t="n">
        <v>100</v>
      </c>
      <c r="S495" s="21" t="inlineStr">
        <is>
          <t>BC 24</t>
        </is>
      </c>
      <c r="T495" s="21" t="inlineStr">
        <is>
          <t>Cyberfinger. Requires a Modular Finger Cyberhand. An Airhypo (see CP:R page 352) concealed within the Cyberfinger.</t>
        </is>
      </c>
    </row>
    <row r="496">
      <c r="A496" s="21" t="inlineStr">
        <is>
          <t>Ballpoint Cyberfinger</t>
        </is>
      </c>
      <c r="B496" s="21" t="inlineStr">
        <is>
          <t>Кибернетика</t>
        </is>
      </c>
      <c r="C496" s="21" t="inlineStr">
        <is>
          <t>Cyberfingers</t>
        </is>
      </c>
      <c r="D496" s="21" t="inlineStr"/>
      <c r="E496" s="21" t="inlineStr"/>
      <c r="F496" s="31" t="n"/>
      <c r="G496" s="31" t="n"/>
      <c r="H496" s="31" t="n"/>
      <c r="I496" s="31" t="n"/>
      <c r="J496" s="31" t="n">
        <v>0</v>
      </c>
      <c r="K496" s="31" t="n">
        <v>0</v>
      </c>
      <c r="L496" s="31" t="n">
        <v>0</v>
      </c>
      <c r="M496" s="31" t="n">
        <v>0</v>
      </c>
      <c r="N496" s="21" t="inlineStr">
        <is>
          <t>Mall</t>
        </is>
      </c>
      <c r="O496" s="21" t="inlineStr"/>
      <c r="P496" s="21" t="inlineStr"/>
      <c r="Q496" s="21" t="inlineStr"/>
      <c r="R496" s="40" t="n">
        <v>100</v>
      </c>
      <c r="S496" s="21" t="inlineStr">
        <is>
          <t>BC 24</t>
        </is>
      </c>
      <c r="T496" s="21" t="inlineStr">
        <is>
          <t>Cyberfinger. Requires a Modular Finger Cyberhand. A ballpoint pen concealed within the Cyberfinger.</t>
        </is>
      </c>
    </row>
    <row r="497">
      <c r="A497" s="21" t="inlineStr">
        <is>
          <t>Bullet Storage Cyberfinger</t>
        </is>
      </c>
      <c r="B497" s="21" t="inlineStr">
        <is>
          <t>Кибернетика</t>
        </is>
      </c>
      <c r="C497" s="21" t="inlineStr">
        <is>
          <t>Cyberfingers</t>
        </is>
      </c>
      <c r="D497" s="21" t="inlineStr"/>
      <c r="E497" s="21" t="inlineStr"/>
      <c r="F497" s="31" t="n"/>
      <c r="G497" s="31" t="n"/>
      <c r="H497" s="31" t="n"/>
      <c r="I497" s="31" t="n"/>
      <c r="J497" s="31" t="n">
        <v>0</v>
      </c>
      <c r="K497" s="31" t="n">
        <v>0</v>
      </c>
      <c r="L497" s="31" t="n">
        <v>0</v>
      </c>
      <c r="M497" s="31" t="n">
        <v>3</v>
      </c>
      <c r="N497" s="21" t="inlineStr">
        <is>
          <t>Mall</t>
        </is>
      </c>
      <c r="O497" s="21" t="inlineStr"/>
      <c r="P497" s="21" t="inlineStr"/>
      <c r="Q497" s="21" t="inlineStr"/>
      <c r="R497" s="40" t="n">
        <v>100</v>
      </c>
      <c r="S497" s="21" t="inlineStr">
        <is>
          <t>BC 24</t>
        </is>
      </c>
      <c r="T497" s="21" t="inlineStr">
        <is>
          <t>Cyberfinger. Requires a Modular Finger Cyberhand. Cyberfinger can hold two rounds of any bullet-type ammunition, concealing them within the Cyberfinger without a Check.</t>
        </is>
      </c>
    </row>
    <row r="498">
      <c r="A498" s="21" t="inlineStr">
        <is>
          <t>Flashlight Cyberfinger</t>
        </is>
      </c>
      <c r="B498" s="21" t="inlineStr">
        <is>
          <t>Кибернетика</t>
        </is>
      </c>
      <c r="C498" s="21" t="inlineStr">
        <is>
          <t>Cyberfingers</t>
        </is>
      </c>
      <c r="D498" s="21" t="inlineStr"/>
      <c r="E498" s="21" t="inlineStr"/>
      <c r="F498" s="31" t="n"/>
      <c r="G498" s="31" t="n"/>
      <c r="H498" s="31" t="n"/>
      <c r="I498" s="31" t="n"/>
      <c r="J498" s="31" t="n">
        <v>0</v>
      </c>
      <c r="K498" s="31" t="n">
        <v>0</v>
      </c>
      <c r="L498" s="31" t="n">
        <v>0</v>
      </c>
      <c r="M498" s="31" t="n">
        <v>3</v>
      </c>
      <c r="N498" s="21" t="inlineStr">
        <is>
          <t>Mall</t>
        </is>
      </c>
      <c r="O498" s="21" t="inlineStr"/>
      <c r="P498" s="21" t="inlineStr"/>
      <c r="Q498" s="21" t="inlineStr"/>
      <c r="R498" s="40" t="n">
        <v>100</v>
      </c>
      <c r="S498" s="21" t="inlineStr">
        <is>
          <t>BC 24</t>
        </is>
      </c>
      <c r="T498" s="21" t="inlineStr">
        <is>
          <t>Cyberfinger. Requires a Modular Finger Cyberhand. Flashlight concealed within the Cyberfinger.</t>
        </is>
      </c>
    </row>
    <row r="499">
      <c r="A499" s="21" t="inlineStr">
        <is>
          <t>Dartgun Cyberfinger</t>
        </is>
      </c>
      <c r="B499" s="21" t="inlineStr">
        <is>
          <t>Кибернетика</t>
        </is>
      </c>
      <c r="C499" s="21" t="inlineStr">
        <is>
          <t>Cyberfingers</t>
        </is>
      </c>
      <c r="D499" s="21" t="inlineStr"/>
      <c r="E499" s="21" t="inlineStr"/>
      <c r="F499" s="31" t="n"/>
      <c r="G499" s="31" t="n"/>
      <c r="H499" s="31" t="n"/>
      <c r="I499" s="31" t="n"/>
      <c r="J499" s="31" t="n">
        <v>0</v>
      </c>
      <c r="K499" s="31" t="n">
        <v>0</v>
      </c>
      <c r="L499" s="31" t="n">
        <v>0</v>
      </c>
      <c r="M499" s="31" t="n">
        <v>7</v>
      </c>
      <c r="N499" s="21" t="inlineStr">
        <is>
          <t>Mall</t>
        </is>
      </c>
      <c r="O499" s="21" t="inlineStr"/>
      <c r="P499" s="21" t="inlineStr"/>
      <c r="Q499" s="21" t="inlineStr"/>
      <c r="R499" s="40" t="n">
        <v>500</v>
      </c>
      <c r="S499" s="21" t="inlineStr">
        <is>
          <t>BC 24</t>
        </is>
      </c>
      <c r="T499" s="21" t="inlineStr">
        <is>
          <t>Cyberfinger. Requires a Modular Finger Cyberhand. Dartgun Exotic Weapon (see CP:R page 348), with only a single shot in the clip, concealed inside the Cyberfinger. The Dartgun does not need a Check to be Concealed if a g</t>
        </is>
      </c>
    </row>
    <row r="500">
      <c r="A500" s="21" t="inlineStr">
        <is>
          <t>Laser Pointer Cyberfinger</t>
        </is>
      </c>
      <c r="B500" s="21" t="inlineStr">
        <is>
          <t>Кибернетика</t>
        </is>
      </c>
      <c r="C500" s="21" t="inlineStr">
        <is>
          <t>Cyberfingers</t>
        </is>
      </c>
      <c r="D500" s="21" t="inlineStr"/>
      <c r="E500" s="21" t="inlineStr"/>
      <c r="F500" s="31" t="n"/>
      <c r="G500" s="31" t="n"/>
      <c r="H500" s="31" t="n"/>
      <c r="I500" s="31" t="n"/>
      <c r="J500" s="31" t="n">
        <v>0</v>
      </c>
      <c r="K500" s="31" t="n">
        <v>0</v>
      </c>
      <c r="L500" s="31" t="n">
        <v>0</v>
      </c>
      <c r="M500" s="31" t="n">
        <v>3</v>
      </c>
      <c r="N500" s="21" t="inlineStr">
        <is>
          <t>Mall</t>
        </is>
      </c>
      <c r="O500" s="21" t="inlineStr"/>
      <c r="P500" s="21" t="inlineStr"/>
      <c r="Q500" s="21" t="inlineStr"/>
      <c r="R500" s="40" t="n">
        <v>100</v>
      </c>
      <c r="S500" s="21" t="inlineStr">
        <is>
          <t>BC 25</t>
        </is>
      </c>
      <c r="T500" s="21" t="inlineStr">
        <is>
          <t>Cyberfinger. Requires a Modular Finger Cyberhand. Laser Pointer concealed within the Cyberfinger. With four or more Laser Pointer Cyberfingers, as an Action a user can force a target within 25 m/yds to make a DV13 Resist</t>
        </is>
      </c>
    </row>
    <row r="501">
      <c r="A501" s="21" t="inlineStr">
        <is>
          <t>Lighter Cyberfinger</t>
        </is>
      </c>
      <c r="B501" s="21" t="inlineStr">
        <is>
          <t>Кибернетика</t>
        </is>
      </c>
      <c r="C501" s="21" t="inlineStr">
        <is>
          <t>Cyberfingers</t>
        </is>
      </c>
      <c r="D501" s="21" t="inlineStr"/>
      <c r="E501" s="21" t="inlineStr"/>
      <c r="F501" s="31" t="n"/>
      <c r="G501" s="31" t="n"/>
      <c r="H501" s="31" t="n"/>
      <c r="I501" s="31" t="n"/>
      <c r="J501" s="31" t="n">
        <v>0</v>
      </c>
      <c r="K501" s="31" t="n">
        <v>0</v>
      </c>
      <c r="L501" s="31" t="n">
        <v>0</v>
      </c>
      <c r="M501" s="31" t="n">
        <v>3</v>
      </c>
      <c r="N501" s="21" t="inlineStr">
        <is>
          <t>Mall</t>
        </is>
      </c>
      <c r="O501" s="21" t="inlineStr"/>
      <c r="P501" s="21" t="inlineStr"/>
      <c r="Q501" s="21" t="inlineStr"/>
      <c r="R501" s="40" t="n">
        <v>100</v>
      </c>
      <c r="S501" s="21" t="inlineStr">
        <is>
          <t>BC 25</t>
        </is>
      </c>
      <c r="T501" s="21" t="inlineStr">
        <is>
          <t>Cyberfinger. Requires a Modular Finger Cyberhand. A lighter concealed in the tip of the Cyberfinger.</t>
        </is>
      </c>
    </row>
    <row r="502">
      <c r="A502" s="21" t="inlineStr">
        <is>
          <t>Lockpick Cyberfinger</t>
        </is>
      </c>
      <c r="B502" s="21" t="inlineStr">
        <is>
          <t>Кибернетика</t>
        </is>
      </c>
      <c r="C502" s="21" t="inlineStr">
        <is>
          <t>Cyberfingers</t>
        </is>
      </c>
      <c r="D502" s="21" t="inlineStr"/>
      <c r="E502" s="21" t="inlineStr"/>
      <c r="F502" s="31" t="n"/>
      <c r="G502" s="31" t="n"/>
      <c r="H502" s="31" t="n"/>
      <c r="I502" s="31" t="n"/>
      <c r="J502" s="31" t="n">
        <v>0</v>
      </c>
      <c r="K502" s="31" t="n">
        <v>0</v>
      </c>
      <c r="L502" s="31" t="n">
        <v>0</v>
      </c>
      <c r="M502" s="31" t="n">
        <v>2</v>
      </c>
      <c r="N502" s="21" t="inlineStr">
        <is>
          <t>Mall</t>
        </is>
      </c>
      <c r="O502" s="21" t="inlineStr"/>
      <c r="P502" s="21" t="inlineStr"/>
      <c r="Q502" s="21" t="inlineStr"/>
      <c r="R502" s="40" t="n">
        <v>100</v>
      </c>
      <c r="S502" s="21" t="inlineStr">
        <is>
          <t>BC 25</t>
        </is>
      </c>
      <c r="T502" s="21" t="inlineStr">
        <is>
          <t>Cyberfinger. Requires a Modular Finger Cyberhand. Adjustable lockpick and tensioning tool concealed within the Cyberfinger. All you need to pick non-electronic locks using thePick Lock Skill.</t>
        </is>
      </c>
    </row>
    <row r="503">
      <c r="A503" s="21" t="inlineStr">
        <is>
          <t>Microphone Cyberfinger</t>
        </is>
      </c>
      <c r="B503" s="21" t="inlineStr">
        <is>
          <t>Кибернетика</t>
        </is>
      </c>
      <c r="C503" s="21" t="inlineStr">
        <is>
          <t>Cyberfingers</t>
        </is>
      </c>
      <c r="D503" s="21" t="inlineStr"/>
      <c r="E503" s="21" t="inlineStr"/>
      <c r="F503" s="31" t="n"/>
      <c r="G503" s="31" t="n"/>
      <c r="H503" s="31" t="n"/>
      <c r="I503" s="31" t="n"/>
      <c r="J503" s="31" t="n">
        <v>0</v>
      </c>
      <c r="K503" s="31" t="n">
        <v>0</v>
      </c>
      <c r="L503" s="31" t="n">
        <v>0</v>
      </c>
      <c r="M503" s="31" t="n">
        <v>2</v>
      </c>
      <c r="N503" s="21" t="inlineStr">
        <is>
          <t>Mall</t>
        </is>
      </c>
      <c r="O503" s="21" t="inlineStr"/>
      <c r="P503" s="21" t="inlineStr"/>
      <c r="Q503" s="21" t="inlineStr"/>
      <c r="R503" s="40" t="n">
        <v>100</v>
      </c>
      <c r="S503" s="21" t="inlineStr">
        <is>
          <t>BC 25</t>
        </is>
      </c>
      <c r="T503" s="21" t="inlineStr">
        <is>
          <t>Cyberfinger. Requires a Modular Finger Cyberhand. A microphone connected to a linked Agent or another recording device, concealed in the Cyberfinger.</t>
        </is>
      </c>
    </row>
    <row r="504">
      <c r="A504" s="21" t="inlineStr">
        <is>
          <t>Homing Tracer Cyberfinger</t>
        </is>
      </c>
      <c r="B504" s="21" t="inlineStr">
        <is>
          <t>Кибернетика</t>
        </is>
      </c>
      <c r="C504" s="21" t="inlineStr">
        <is>
          <t>Cyberfingers</t>
        </is>
      </c>
      <c r="D504" s="21" t="inlineStr"/>
      <c r="E504" s="21" t="inlineStr"/>
      <c r="F504" s="31" t="n"/>
      <c r="G504" s="31" t="n"/>
      <c r="H504" s="31" t="n"/>
      <c r="I504" s="31" t="n"/>
      <c r="J504" s="31" t="n">
        <v>0</v>
      </c>
      <c r="K504" s="31" t="n">
        <v>0</v>
      </c>
      <c r="L504" s="31" t="n">
        <v>0</v>
      </c>
      <c r="M504" s="31" t="n">
        <v>3</v>
      </c>
      <c r="N504" s="21" t="inlineStr">
        <is>
          <t>Mall</t>
        </is>
      </c>
      <c r="O504" s="21" t="inlineStr"/>
      <c r="P504" s="21" t="inlineStr"/>
      <c r="Q504" s="21" t="inlineStr"/>
      <c r="R504" s="40" t="n">
        <v>500</v>
      </c>
      <c r="S504" s="21" t="inlineStr">
        <is>
          <t>BC 25 · DL:YNBF 12 · IR5 82</t>
        </is>
      </c>
      <c r="T504" s="21" t="inlineStr">
        <is>
          <t>Cyberfinger. Requires a Modular Finger Cyberhand. Cyberfinger that can point in the direction of its linked tracer if it is within 1 mile (1.6 km) away. Typically sold with an easily removable fingernail linked tracer. S</t>
        </is>
      </c>
    </row>
    <row r="505">
      <c r="A505" s="21" t="inlineStr">
        <is>
          <t>Standard Cyberfinger</t>
        </is>
      </c>
      <c r="B505" s="21" t="inlineStr">
        <is>
          <t>Кибернетика</t>
        </is>
      </c>
      <c r="C505" s="21" t="inlineStr">
        <is>
          <t>Cyberfingers</t>
        </is>
      </c>
      <c r="D505" s="21" t="inlineStr"/>
      <c r="E505" s="21" t="inlineStr"/>
      <c r="F505" s="31" t="n"/>
      <c r="G505" s="31" t="n"/>
      <c r="H505" s="31" t="n"/>
      <c r="I505" s="31" t="n"/>
      <c r="J505" s="31" t="n">
        <v>0</v>
      </c>
      <c r="K505" s="31" t="n">
        <v>0</v>
      </c>
      <c r="L505" s="31" t="n">
        <v>0</v>
      </c>
      <c r="M505" s="31" t="n">
        <v>0</v>
      </c>
      <c r="N505" s="21" t="inlineStr">
        <is>
          <t>Mall</t>
        </is>
      </c>
      <c r="O505" s="21" t="inlineStr"/>
      <c r="P505" s="21" t="inlineStr"/>
      <c r="Q505" s="21" t="inlineStr"/>
      <c r="R505" s="40" t="n">
        <v>20</v>
      </c>
      <c r="S505" s="21" t="inlineStr">
        <is>
          <t>BC 26</t>
        </is>
      </c>
      <c r="T505" s="21" t="inlineStr">
        <is>
          <t>Cyberfinger. Requires a Modular Finger Cyberhand. A Cyberfinger with no special features.</t>
        </is>
      </c>
    </row>
    <row r="506">
      <c r="A506" s="21" t="inlineStr">
        <is>
          <t>One Shot Special Cyberfinger</t>
        </is>
      </c>
      <c r="B506" s="21" t="inlineStr">
        <is>
          <t>Кибернетика</t>
        </is>
      </c>
      <c r="C506" s="21" t="inlineStr">
        <is>
          <t>Cyberfingers</t>
        </is>
      </c>
      <c r="D506" s="21" t="inlineStr"/>
      <c r="E506" s="21" t="inlineStr"/>
      <c r="F506" s="31" t="n"/>
      <c r="G506" s="31" t="n"/>
      <c r="H506" s="31" t="n"/>
      <c r="I506" s="31" t="n"/>
      <c r="J506" s="31" t="n">
        <v>0</v>
      </c>
      <c r="K506" s="31" t="n">
        <v>0</v>
      </c>
      <c r="L506" s="31" t="n">
        <v>0</v>
      </c>
      <c r="M506" s="31" t="n">
        <v>7</v>
      </c>
      <c r="N506" s="21" t="inlineStr">
        <is>
          <t>Mall</t>
        </is>
      </c>
      <c r="O506" s="21" t="inlineStr"/>
      <c r="P506" s="21" t="inlineStr"/>
      <c r="Q506" s="21" t="inlineStr"/>
      <c r="R506" s="40" t="n">
        <v>100</v>
      </c>
      <c r="S506" s="21" t="inlineStr">
        <is>
          <t>BC 26</t>
        </is>
      </c>
      <c r="T506" s="21" t="inlineStr">
        <is>
          <t>Cyberfinger. Requires a Modular Finger Cyberhand. Exotic Heavy Pistol with only a single shot in the clip, concealed inside the Cyberfinger. Despite being Exotic, this weapon is still capable of firing Non-Basic Ammuniti</t>
        </is>
      </c>
    </row>
    <row r="507">
      <c r="A507" s="21" t="inlineStr">
        <is>
          <t>Spray Paint Cyberfinger</t>
        </is>
      </c>
      <c r="B507" s="21" t="inlineStr">
        <is>
          <t>Кибернетика</t>
        </is>
      </c>
      <c r="C507" s="21" t="inlineStr">
        <is>
          <t>Cyberfingers</t>
        </is>
      </c>
      <c r="D507" s="21" t="inlineStr"/>
      <c r="E507" s="21" t="inlineStr"/>
      <c r="F507" s="31" t="n"/>
      <c r="G507" s="31" t="n"/>
      <c r="H507" s="31" t="n"/>
      <c r="I507" s="31" t="n"/>
      <c r="J507" s="31" t="n">
        <v>0</v>
      </c>
      <c r="K507" s="31" t="n">
        <v>0</v>
      </c>
      <c r="L507" s="31" t="n">
        <v>0</v>
      </c>
      <c r="M507" s="31" t="n">
        <v>3</v>
      </c>
      <c r="N507" s="21" t="inlineStr">
        <is>
          <t>Mall</t>
        </is>
      </c>
      <c r="O507" s="21" t="inlineStr"/>
      <c r="P507" s="21" t="inlineStr"/>
      <c r="Q507" s="21" t="inlineStr"/>
      <c r="R507" s="40" t="n">
        <v>100</v>
      </c>
      <c r="S507" s="21" t="inlineStr">
        <is>
          <t>BC 26</t>
        </is>
      </c>
      <c r="T507" s="21" t="inlineStr">
        <is>
          <t>Cyberfinger. Requires a Modular Finger Cyberhand. A mini-canister containing a single color of spray paint and a spray nozzle concealed within the Cyberfinger.</t>
        </is>
      </c>
    </row>
    <row r="508">
      <c r="A508" s="21" t="inlineStr">
        <is>
          <t>Squirt Cyberfinger</t>
        </is>
      </c>
      <c r="B508" s="21" t="inlineStr">
        <is>
          <t>Кибернетика</t>
        </is>
      </c>
      <c r="C508" s="21" t="inlineStr">
        <is>
          <t>Cyberfingers</t>
        </is>
      </c>
      <c r="D508" s="21" t="inlineStr"/>
      <c r="E508" s="21" t="inlineStr"/>
      <c r="F508" s="31" t="n"/>
      <c r="G508" s="31" t="n"/>
      <c r="H508" s="31" t="n"/>
      <c r="I508" s="31" t="n"/>
      <c r="J508" s="31" t="n">
        <v>0</v>
      </c>
      <c r="K508" s="31" t="n">
        <v>0</v>
      </c>
      <c r="L508" s="31" t="n">
        <v>0</v>
      </c>
      <c r="M508" s="31" t="n">
        <v>3</v>
      </c>
      <c r="N508" s="21" t="inlineStr">
        <is>
          <t>Mall</t>
        </is>
      </c>
      <c r="O508" s="21" t="inlineStr"/>
      <c r="P508" s="21" t="inlineStr"/>
      <c r="Q508" s="21" t="inlineStr"/>
      <c r="R508" s="40" t="n">
        <v>100</v>
      </c>
      <c r="S508" s="21" t="inlineStr">
        <is>
          <t>BC 26</t>
        </is>
      </c>
      <c r="T508" s="21" t="inlineStr">
        <is>
          <t>Cyberfinger. Requires a Modular Finger Cyberhand. Can dispense/spray various liquids such as hand sanitizer, perfume, or Continental Brands BBQ Kibble Dressing. If loaded with acid the finger will corrode and be destroye</t>
        </is>
      </c>
    </row>
    <row r="509">
      <c r="A509" s="21" t="inlineStr">
        <is>
          <t>Wirecutter/Scissor Cyberfinger</t>
        </is>
      </c>
      <c r="B509" s="21" t="inlineStr">
        <is>
          <t>Кибернетика</t>
        </is>
      </c>
      <c r="C509" s="21" t="inlineStr">
        <is>
          <t>Cyberfingers</t>
        </is>
      </c>
      <c r="D509" s="21" t="inlineStr"/>
      <c r="E509" s="21" t="inlineStr"/>
      <c r="F509" s="31" t="n"/>
      <c r="G509" s="31" t="n"/>
      <c r="H509" s="31" t="n"/>
      <c r="I509" s="31" t="n"/>
      <c r="J509" s="31" t="n">
        <v>0</v>
      </c>
      <c r="K509" s="31" t="n">
        <v>0</v>
      </c>
      <c r="L509" s="31" t="n">
        <v>0</v>
      </c>
      <c r="M509" s="31" t="n">
        <v>3</v>
      </c>
      <c r="N509" s="21" t="inlineStr">
        <is>
          <t>Mall</t>
        </is>
      </c>
      <c r="O509" s="21" t="inlineStr"/>
      <c r="P509" s="21" t="inlineStr"/>
      <c r="Q509" s="21" t="inlineStr"/>
      <c r="R509" s="40" t="n">
        <v>100</v>
      </c>
      <c r="S509" s="21" t="inlineStr">
        <is>
          <t>BC 26</t>
        </is>
      </c>
      <c r="T509" s="21" t="inlineStr">
        <is>
          <t>Cyberfinger. Requires a Modular Finger Cyberhand. Retractable blades are concealed along the insides of two Cyberfingers, usually the middle and pointer fingers, forming wirecutters/scissors. Can also be used as a Poor Q</t>
        </is>
      </c>
    </row>
    <row r="510">
      <c r="A510" s="21" t="inlineStr">
        <is>
          <t>Mini Air Supply Cyberfinger</t>
        </is>
      </c>
      <c r="B510" s="21" t="inlineStr">
        <is>
          <t>Кибернетика</t>
        </is>
      </c>
      <c r="C510" s="21" t="inlineStr">
        <is>
          <t>Cyberfingers</t>
        </is>
      </c>
      <c r="D510" s="21" t="inlineStr"/>
      <c r="E510" s="21" t="inlineStr"/>
      <c r="F510" s="31" t="n"/>
      <c r="G510" s="31" t="n"/>
      <c r="H510" s="31" t="n"/>
      <c r="I510" s="31" t="n"/>
      <c r="J510" s="31" t="n">
        <v>0</v>
      </c>
      <c r="K510" s="31" t="n">
        <v>0</v>
      </c>
      <c r="L510" s="31" t="n">
        <v>0</v>
      </c>
      <c r="M510" s="31" t="n">
        <v>2</v>
      </c>
      <c r="N510" s="21" t="inlineStr">
        <is>
          <t>Mall</t>
        </is>
      </c>
      <c r="O510" s="21" t="inlineStr"/>
      <c r="P510" s="21" t="inlineStr"/>
      <c r="Q510" s="21" t="inlineStr"/>
      <c r="R510" s="40" t="n">
        <v>500</v>
      </c>
      <c r="S510" s="21" t="inlineStr">
        <is>
          <t>BC 26</t>
        </is>
      </c>
      <c r="T510" s="21" t="inlineStr">
        <is>
          <t>Cyberfinger. Requires a Modular Finger Cyberhand. A microphone connected to a linked Agent or another recording device, concealed in the Cyberfinger.</t>
        </is>
      </c>
    </row>
    <row r="511">
      <c r="A511" s="21" t="inlineStr">
        <is>
          <t>Flashbulb</t>
        </is>
      </c>
      <c r="B511" s="21" t="inlineStr">
        <is>
          <t>Кибернетика</t>
        </is>
      </c>
      <c r="C511" s="21" t="inlineStr">
        <is>
          <t>Cyberlimbs</t>
        </is>
      </c>
      <c r="D511" s="21" t="inlineStr"/>
      <c r="E511" s="21" t="inlineStr"/>
      <c r="F511" s="31" t="n"/>
      <c r="G511" s="31" t="n"/>
      <c r="H511" s="31" t="n"/>
      <c r="I511" s="31" t="n"/>
      <c r="J511" s="31" t="n">
        <v>0</v>
      </c>
      <c r="K511" s="31" t="n">
        <v>0</v>
      </c>
      <c r="L511" s="31" t="n">
        <v>0</v>
      </c>
      <c r="M511" s="31" t="n">
        <v>7</v>
      </c>
      <c r="N511" s="21" t="inlineStr">
        <is>
          <t>Clinic</t>
        </is>
      </c>
      <c r="O511" s="21" t="inlineStr"/>
      <c r="P511" s="21" t="inlineStr"/>
      <c r="Q511" s="21" t="inlineStr"/>
      <c r="R511" s="40" t="n">
        <v>500</v>
      </c>
      <c r="S511" s="21" t="inlineStr">
        <is>
          <t>BC 18 · DL:YNBF 12 · IR5 82</t>
        </is>
      </c>
      <c r="T511" s="21" t="inlineStr">
        <is>
          <t xml:space="preserve">While they’re blinking away the tears leaking from their eyes, you’ll be making a clean getaway. Cyberarm Option. Requires 2 Option Slots. As an Action, a user can force a target with functional meat eyes or cyberoptics </t>
        </is>
      </c>
    </row>
    <row r="512">
      <c r="A512" s="21" t="inlineStr">
        <is>
          <t>Extra-Jointed Cyberlimb Upgrade</t>
        </is>
      </c>
      <c r="B512" s="21" t="inlineStr">
        <is>
          <t>Кибернетика</t>
        </is>
      </c>
      <c r="C512" s="21" t="inlineStr">
        <is>
          <t>Cyberlimbs</t>
        </is>
      </c>
      <c r="D512" s="21" t="inlineStr"/>
      <c r="E512" s="21" t="inlineStr"/>
      <c r="F512" s="31" t="n"/>
      <c r="G512" s="31" t="n"/>
      <c r="H512" s="31" t="n"/>
      <c r="I512" s="31" t="n"/>
      <c r="J512" s="31" t="n">
        <v>0</v>
      </c>
      <c r="K512" s="31" t="n">
        <v>0</v>
      </c>
      <c r="L512" s="31" t="n">
        <v>0</v>
      </c>
      <c r="M512" s="31" t="n">
        <v>3</v>
      </c>
      <c r="N512" s="21" t="inlineStr">
        <is>
          <t>Clinic</t>
        </is>
      </c>
      <c r="O512" s="21" t="inlineStr"/>
      <c r="P512" s="21" t="inlineStr"/>
      <c r="Q512" s="21" t="inlineStr"/>
      <c r="R512" s="40" t="n">
        <v>500</v>
      </c>
      <c r="S512" s="21" t="inlineStr">
        <is>
          <t>BC 18 · IR2 73</t>
        </is>
      </c>
      <c r="T512" s="21" t="inlineStr">
        <is>
          <t xml:space="preserve">Medical scholars insist the human limb only has three points of articulation. Rocklin Augmentics respectfully disagrees. With this Cyberlimb upgrade you’ll bypass simple kinaesthetics and reach for the transhuman dream. </t>
        </is>
      </c>
    </row>
    <row r="513">
      <c r="A513" s="21" t="inlineStr">
        <is>
          <t>Integrated Cyberdeck Upgrade</t>
        </is>
      </c>
      <c r="B513" s="21" t="inlineStr">
        <is>
          <t>Кибернетика</t>
        </is>
      </c>
      <c r="C513" s="21" t="inlineStr">
        <is>
          <t>Cyberlimbs</t>
        </is>
      </c>
      <c r="D513" s="21" t="inlineStr"/>
      <c r="E513" s="21" t="inlineStr"/>
      <c r="F513" s="31" t="n"/>
      <c r="G513" s="31" t="n"/>
      <c r="H513" s="31" t="n"/>
      <c r="I513" s="31" t="n"/>
      <c r="J513" s="31" t="n">
        <v>0</v>
      </c>
      <c r="K513" s="31" t="n">
        <v>0</v>
      </c>
      <c r="L513" s="31" t="n">
        <v>0</v>
      </c>
      <c r="M513" s="31" t="n">
        <v>7</v>
      </c>
      <c r="N513" s="21" t="inlineStr">
        <is>
          <t>Clinic</t>
        </is>
      </c>
      <c r="O513" s="21" t="inlineStr"/>
      <c r="P513" s="21" t="inlineStr"/>
      <c r="Q513" s="21" t="inlineStr"/>
      <c r="R513" s="40" t="n">
        <v>500</v>
      </c>
      <c r="S513" s="21" t="inlineStr">
        <is>
          <t>BC 19 · IR3 108</t>
        </is>
      </c>
      <c r="T513" s="21" t="inlineStr">
        <is>
          <t>Didn’t have enough oomph to ace the NET Architecture on your last Netrun? Add an extra slot to your arm’s Cyberdeck and it won’t happen again. Cyberarm Option. Upgrades a user’s already Cyberarm-integrated Cyberdeck with</t>
        </is>
      </c>
    </row>
    <row r="514">
      <c r="A514" s="21" t="inlineStr">
        <is>
          <t>Neo-Soviet Cyberarm</t>
        </is>
      </c>
      <c r="B514" s="21" t="inlineStr">
        <is>
          <t>Кибернетика</t>
        </is>
      </c>
      <c r="C514" s="21" t="inlineStr">
        <is>
          <t>Cyberlimbs</t>
        </is>
      </c>
      <c r="D514" s="21" t="inlineStr"/>
      <c r="E514" s="21" t="inlineStr"/>
      <c r="F514" s="31" t="n"/>
      <c r="G514" s="31" t="n"/>
      <c r="H514" s="31" t="n"/>
      <c r="I514" s="31" t="n"/>
      <c r="J514" s="31" t="n">
        <v>0</v>
      </c>
      <c r="K514" s="31" t="n">
        <v>0</v>
      </c>
      <c r="L514" s="31" t="n">
        <v>0</v>
      </c>
      <c r="M514" s="31" t="n">
        <v>7</v>
      </c>
      <c r="N514" s="21" t="inlineStr">
        <is>
          <t>Hospital</t>
        </is>
      </c>
      <c r="O514" s="21" t="inlineStr"/>
      <c r="P514" s="21" t="inlineStr"/>
      <c r="Q514" s="21" t="inlineStr"/>
      <c r="R514" s="40" t="n">
        <v>100</v>
      </c>
      <c r="S514" s="21" t="inlineStr">
        <is>
          <t>BC 20</t>
        </is>
      </c>
      <c r="T514" s="21" t="inlineStr">
        <is>
          <t xml:space="preserve">From the Neo-Soviet back catalog, get some of Mother Russia’s finest (and oldest) cyberware. Why pay astronomical prices when you can get it cheap and look Bolshevik chic at the same time? Replacement arm. Does not have </t>
        </is>
      </c>
    </row>
    <row r="515">
      <c r="A515" s="21" t="inlineStr">
        <is>
          <t>Modular Finger Cyberhand</t>
        </is>
      </c>
      <c r="B515" s="21" t="inlineStr">
        <is>
          <t>Кибернетика</t>
        </is>
      </c>
      <c r="C515" s="21" t="inlineStr">
        <is>
          <t>Cyberlimbs</t>
        </is>
      </c>
      <c r="D515" s="21" t="inlineStr"/>
      <c r="E515" s="21" t="inlineStr"/>
      <c r="F515" s="31" t="n"/>
      <c r="G515" s="31" t="n"/>
      <c r="H515" s="31" t="n"/>
      <c r="I515" s="31" t="n"/>
      <c r="J515" s="31" t="n">
        <v>0</v>
      </c>
      <c r="K515" s="31" t="n">
        <v>0</v>
      </c>
      <c r="L515" s="31" t="n">
        <v>0</v>
      </c>
      <c r="M515" s="31" t="n">
        <v>3</v>
      </c>
      <c r="N515" s="21" t="inlineStr">
        <is>
          <t>Hospital</t>
        </is>
      </c>
      <c r="O515" s="21" t="inlineStr"/>
      <c r="P515" s="21" t="inlineStr"/>
      <c r="Q515" s="21" t="inlineStr"/>
      <c r="R515" s="40" t="n">
        <v>100</v>
      </c>
      <c r="S515" s="21" t="inlineStr">
        <is>
          <t>BC 20</t>
        </is>
      </c>
      <c r="T515" s="21" t="inlineStr">
        <is>
          <t>You want Cyberfingers? You’ll need one of these. Maybe two. Hell, maybe four. One for every arm! Cyberarm Option. Can be installed as the only piece of cyberware in a meat arm. Contains space for up to 5 Cyberfingers. Ea</t>
        </is>
      </c>
    </row>
    <row r="516">
      <c r="A516" s="21" t="inlineStr">
        <is>
          <t>Popup Net Launcher</t>
        </is>
      </c>
      <c r="B516" s="21" t="inlineStr">
        <is>
          <t>Кибернетика</t>
        </is>
      </c>
      <c r="C516" s="21" t="inlineStr">
        <is>
          <t>Cyberlimbs</t>
        </is>
      </c>
      <c r="D516" s="21" t="inlineStr"/>
      <c r="E516" s="21" t="inlineStr"/>
      <c r="F516" s="31" t="n"/>
      <c r="G516" s="31" t="n"/>
      <c r="H516" s="31" t="n"/>
      <c r="I516" s="31" t="n"/>
      <c r="J516" s="31" t="n">
        <v>0</v>
      </c>
      <c r="K516" s="31" t="n">
        <v>0</v>
      </c>
      <c r="L516" s="31" t="n">
        <v>0</v>
      </c>
      <c r="M516" s="31" t="n">
        <v>7</v>
      </c>
      <c r="N516" s="21" t="inlineStr">
        <is>
          <t>Clinic</t>
        </is>
      </c>
      <c r="O516" s="21" t="inlineStr"/>
      <c r="P516" s="21" t="inlineStr"/>
      <c r="Q516" s="21" t="inlineStr"/>
      <c r="R516" s="40" t="n">
        <v>500</v>
      </c>
      <c r="S516" s="21" t="inlineStr">
        <is>
          <t>BC 20</t>
        </is>
      </c>
      <c r="T516" s="21" t="inlineStr">
        <is>
          <t>Every good bounty hunter knows sometimes you need to bring them back alive. When you want to stuff something absolutely non-lethal into your Cyberarm, try Pursuit Security Inc.’s Popup Net Launcher. Cyberarm Option. Requ</t>
        </is>
      </c>
    </row>
    <row r="517">
      <c r="A517" s="21" t="inlineStr">
        <is>
          <t>Popup Shotgun</t>
        </is>
      </c>
      <c r="B517" s="21" t="inlineStr">
        <is>
          <t>Кибернетика</t>
        </is>
      </c>
      <c r="C517" s="21" t="inlineStr">
        <is>
          <t>Cyberlimbs</t>
        </is>
      </c>
      <c r="D517" s="21" t="inlineStr"/>
      <c r="E517" s="21" t="inlineStr"/>
      <c r="F517" s="31" t="n"/>
      <c r="G517" s="31" t="n"/>
      <c r="H517" s="31" t="n"/>
      <c r="I517" s="31" t="n"/>
      <c r="J517" s="31" t="n">
        <v>0</v>
      </c>
      <c r="K517" s="31" t="n">
        <v>0</v>
      </c>
      <c r="L517" s="31" t="n">
        <v>0</v>
      </c>
      <c r="M517" s="31" t="n">
        <v>7</v>
      </c>
      <c r="N517" s="21" t="inlineStr">
        <is>
          <t>Clinic</t>
        </is>
      </c>
      <c r="O517" s="21" t="inlineStr"/>
      <c r="P517" s="21" t="inlineStr"/>
      <c r="Q517" s="21" t="inlineStr"/>
      <c r="R517" s="40" t="n">
        <v>1000</v>
      </c>
      <c r="S517" s="21" t="inlineStr">
        <is>
          <t>BC 21</t>
        </is>
      </c>
      <c r="T517" s="21" t="inlineStr">
        <is>
          <t>Why carry a boomstick when you can be a boomstick? We’ve got a nice crate full of Popup Shotguns made by some of the finest Techs in Night City. Cyberarm Option. Requires 3 Option Slots. A shotgun with 2 shots in its mag</t>
        </is>
      </c>
    </row>
    <row r="518">
      <c r="A518" s="21" t="inlineStr">
        <is>
          <t>Reinforced Cyberlimb Upgrade</t>
        </is>
      </c>
      <c r="B518" s="21" t="inlineStr">
        <is>
          <t>Кибернетика</t>
        </is>
      </c>
      <c r="C518" s="21" t="inlineStr">
        <is>
          <t>Cyberlimbs</t>
        </is>
      </c>
      <c r="D518" s="21" t="inlineStr"/>
      <c r="E518" s="21" t="inlineStr"/>
      <c r="F518" s="31" t="n"/>
      <c r="G518" s="31" t="n"/>
      <c r="H518" s="31" t="n"/>
      <c r="I518" s="31" t="n"/>
      <c r="J518" s="31" t="n">
        <v>0</v>
      </c>
      <c r="K518" s="31" t="n">
        <v>0</v>
      </c>
      <c r="L518" s="31" t="n">
        <v>0</v>
      </c>
      <c r="M518" s="31" t="n">
        <v>3</v>
      </c>
      <c r="N518" s="21" t="inlineStr">
        <is>
          <t>Clinic</t>
        </is>
      </c>
      <c r="O518" s="21" t="inlineStr"/>
      <c r="P518" s="21" t="inlineStr"/>
      <c r="Q518" s="21" t="inlineStr"/>
      <c r="R518" s="40" t="n">
        <v>1000</v>
      </c>
      <c r="S518" s="21" t="inlineStr">
        <is>
          <t>BC 21 · IR3 109</t>
        </is>
      </c>
      <c r="T518" s="21" t="inlineStr">
        <is>
          <t>You’ve got a metal leg. Shouldn’t you be above the silly concerns of people with old-fashioned meat gams? With the Reinforced Cyberlimb Upgrade you can take a hammer blow straight to the kneecap and the only thing that w</t>
        </is>
      </c>
    </row>
    <row r="519">
      <c r="A519" s="21" t="inlineStr">
        <is>
          <t>Mantis Blade</t>
        </is>
      </c>
      <c r="B519" s="21" t="inlineStr">
        <is>
          <t>Кибернетика</t>
        </is>
      </c>
      <c r="C519" s="21" t="inlineStr">
        <is>
          <t>Cyberlimbs</t>
        </is>
      </c>
      <c r="D519" s="21" t="inlineStr"/>
      <c r="E519" s="21" t="inlineStr"/>
      <c r="F519" s="31" t="n"/>
      <c r="G519" s="31" t="n"/>
      <c r="H519" s="31" t="n"/>
      <c r="I519" s="31" t="n"/>
      <c r="J519" s="31" t="n">
        <v>0</v>
      </c>
      <c r="K519" s="31" t="n">
        <v>0</v>
      </c>
      <c r="L519" s="31" t="n">
        <v>0</v>
      </c>
      <c r="M519" s="31" t="n">
        <v>14</v>
      </c>
      <c r="N519" s="21" t="inlineStr">
        <is>
          <t>Hospital</t>
        </is>
      </c>
      <c r="O519" s="21" t="inlineStr"/>
      <c r="P519" s="21" t="inlineStr"/>
      <c r="Q519" s="21" t="inlineStr"/>
      <c r="R519" s="40" t="n">
        <v>500</v>
      </c>
      <c r="S519" s="21" t="inlineStr">
        <is>
          <t>CEMK 35</t>
        </is>
      </c>
      <c r="T519" s="21" t="inlineStr">
        <is>
          <t xml:space="preserve">These iconic arm blades are designed with lethality and concealment in mind. As effective as they are flashy. Cyberarm Option. Requires 2 Cyberarm Option Slots. A One-Handed Excellent Quality Heavy Melee Weapon that can </t>
        </is>
      </c>
    </row>
    <row r="520">
      <c r="A520" s="21" t="inlineStr">
        <is>
          <t>Gorilla Arm</t>
        </is>
      </c>
      <c r="B520" s="21" t="inlineStr">
        <is>
          <t>Кибернетика</t>
        </is>
      </c>
      <c r="C520" s="21" t="inlineStr">
        <is>
          <t>Cyberlimbs</t>
        </is>
      </c>
      <c r="D520" s="21" t="inlineStr"/>
      <c r="E520" s="21" t="inlineStr"/>
      <c r="F520" s="31" t="n"/>
      <c r="G520" s="31" t="n"/>
      <c r="H520" s="31" t="n"/>
      <c r="I520" s="31" t="n"/>
      <c r="J520" s="31" t="n">
        <v>0</v>
      </c>
      <c r="K520" s="31" t="n">
        <v>0</v>
      </c>
      <c r="L520" s="31" t="n">
        <v>0</v>
      </c>
      <c r="M520" s="31" t="n">
        <v>14</v>
      </c>
      <c r="N520" s="21" t="inlineStr">
        <is>
          <t>Hospital</t>
        </is>
      </c>
      <c r="O520" s="21" t="inlineStr"/>
      <c r="P520" s="21" t="inlineStr"/>
      <c r="Q520" s="21" t="inlineStr"/>
      <c r="R520" s="40" t="n">
        <v>1000</v>
      </c>
      <c r="S520" s="21" t="inlineStr">
        <is>
          <t>CEMK 35</t>
        </is>
      </c>
      <c r="T520" s="21" t="inlineStr">
        <is>
          <t>Classic and reliable hard labor enhancements for cyberarms. Cyberarm Option. Requires 2 Cyberarm Option Slots. This reinforced fist can be wielded as an Excellent Quality Heavy Melee Weapon. The user may wield weapons in</t>
        </is>
      </c>
    </row>
    <row r="521">
      <c r="A521" s="21" t="inlineStr">
        <is>
          <t>Monowire</t>
        </is>
      </c>
      <c r="B521" s="21" t="inlineStr">
        <is>
          <t>Кибернетика</t>
        </is>
      </c>
      <c r="C521" s="21" t="inlineStr">
        <is>
          <t>Cyberlimbs</t>
        </is>
      </c>
      <c r="D521" s="21" t="inlineStr"/>
      <c r="E521" s="21" t="inlineStr"/>
      <c r="F521" s="31" t="n"/>
      <c r="G521" s="31" t="n"/>
      <c r="H521" s="31" t="n"/>
      <c r="I521" s="31" t="n"/>
      <c r="J521" s="31" t="n">
        <v>0</v>
      </c>
      <c r="K521" s="31" t="n">
        <v>0</v>
      </c>
      <c r="L521" s="31" t="n">
        <v>0</v>
      </c>
      <c r="M521" s="31" t="n">
        <v>7</v>
      </c>
      <c r="N521" s="21" t="inlineStr">
        <is>
          <t>Clinic</t>
        </is>
      </c>
      <c r="O521" s="21" t="inlineStr"/>
      <c r="P521" s="21" t="inlineStr"/>
      <c r="Q521" s="21" t="inlineStr"/>
      <c r="R521" s="40" t="n">
        <v>1000</v>
      </c>
      <c r="S521" s="21" t="inlineStr">
        <is>
          <t>CEMK 35</t>
        </is>
      </c>
      <c r="T521" s="21" t="inlineStr">
        <is>
          <t xml:space="preserve">Cyberarm Option. Monofilament whip that can be concealed successfully without a check. One-Handed Exotic Heavy Melee Weapon capable of making melee attacks from up to 6 m/yds (3 squares) away. Whenever a Monowire causes </t>
        </is>
      </c>
    </row>
    <row r="522">
      <c r="A522" s="21" t="inlineStr">
        <is>
          <t>Standard Hand</t>
        </is>
      </c>
      <c r="B522" s="21" t="inlineStr">
        <is>
          <t>Кибернетика</t>
        </is>
      </c>
      <c r="C522" s="21" t="inlineStr">
        <is>
          <t>Cyberlimbs</t>
        </is>
      </c>
      <c r="D522" s="21" t="inlineStr"/>
      <c r="E522" s="21" t="inlineStr"/>
      <c r="F522" s="31" t="n"/>
      <c r="G522" s="31" t="n"/>
      <c r="H522" s="31" t="n"/>
      <c r="I522" s="31" t="n"/>
      <c r="J522" s="31" t="n">
        <v>0</v>
      </c>
      <c r="K522" s="31" t="n">
        <v>0</v>
      </c>
      <c r="L522" s="31" t="n">
        <v>0</v>
      </c>
      <c r="M522" s="31" t="n">
        <v>2</v>
      </c>
      <c r="N522" s="21" t="inlineStr">
        <is>
          <t>Clinic</t>
        </is>
      </c>
      <c r="O522" s="21" t="inlineStr"/>
      <c r="P522" s="21" t="inlineStr"/>
      <c r="Q522" s="21" t="inlineStr"/>
      <c r="R522" s="40" t="n">
        <v>100</v>
      </c>
      <c r="S522" s="21" t="inlineStr">
        <is>
          <t>CP:R 364</t>
        </is>
      </c>
      <c r="T522" s="21" t="inlineStr">
        <is>
          <t>Resembles a normal hand. If installed into a meat arm, a standard hand doesn't count towards the number of pieces of cyberware installed in a meat arm. Doesn't take up a Cyberarm Option Slot.</t>
        </is>
      </c>
    </row>
    <row r="523">
      <c r="A523" s="21" t="inlineStr">
        <is>
          <t>Big Knucks</t>
        </is>
      </c>
      <c r="B523" s="21" t="inlineStr">
        <is>
          <t>Кибернетика</t>
        </is>
      </c>
      <c r="C523" s="21" t="inlineStr">
        <is>
          <t>Cyberlimbs</t>
        </is>
      </c>
      <c r="D523" s="21" t="inlineStr"/>
      <c r="E523" s="21" t="inlineStr"/>
      <c r="F523" s="31" t="n"/>
      <c r="G523" s="31" t="n"/>
      <c r="H523" s="31" t="n"/>
      <c r="I523" s="31" t="n"/>
      <c r="J523" s="31" t="n">
        <v>0</v>
      </c>
      <c r="K523" s="31" t="n">
        <v>0</v>
      </c>
      <c r="L523" s="31" t="n">
        <v>0</v>
      </c>
      <c r="M523" s="31" t="n">
        <v>3</v>
      </c>
      <c r="N523" s="21" t="inlineStr">
        <is>
          <t>Clinic</t>
        </is>
      </c>
      <c r="O523" s="21" t="inlineStr"/>
      <c r="P523" s="21" t="inlineStr"/>
      <c r="Q523" s="21" t="inlineStr"/>
      <c r="R523" s="40" t="n">
        <v>100</v>
      </c>
      <c r="S523" s="21" t="inlineStr">
        <is>
          <t>CP:R 364</t>
        </is>
      </c>
      <c r="T523" s="21" t="inlineStr">
        <is>
          <t xml:space="preserve">Cyberarm Option. Armored knuckles. A Medium Melee Weapon (2d6 damage, 2 ROF) that can be successfully concealed without a Check. When wielded as a weapon, user can't hold anything in this arm's hand. Can be installed as </t>
        </is>
      </c>
    </row>
    <row r="524">
      <c r="A524" s="21" t="inlineStr">
        <is>
          <t>Cyberarm</t>
        </is>
      </c>
      <c r="B524" s="21" t="inlineStr">
        <is>
          <t>Кибернетика</t>
        </is>
      </c>
      <c r="C524" s="21" t="inlineStr">
        <is>
          <t>Cyberlimbs</t>
        </is>
      </c>
      <c r="D524" s="21" t="inlineStr"/>
      <c r="E524" s="21" t="inlineStr"/>
      <c r="F524" s="31" t="n"/>
      <c r="G524" s="31" t="n"/>
      <c r="H524" s="31" t="n"/>
      <c r="I524" s="31" t="n"/>
      <c r="J524" s="31" t="n">
        <v>0</v>
      </c>
      <c r="K524" s="31" t="n">
        <v>0</v>
      </c>
      <c r="L524" s="31" t="n">
        <v>0</v>
      </c>
      <c r="M524" s="31" t="n">
        <v>7</v>
      </c>
      <c r="N524" s="21" t="inlineStr">
        <is>
          <t>Hospital</t>
        </is>
      </c>
      <c r="O524" s="21" t="inlineStr"/>
      <c r="P524" s="21" t="inlineStr"/>
      <c r="Q524" s="21" t="inlineStr"/>
      <c r="R524" s="40" t="n">
        <v>500</v>
      </c>
      <c r="S524" s="21" t="inlineStr">
        <is>
          <t>CP:R 364</t>
        </is>
      </c>
      <c r="T524" s="21" t="inlineStr">
        <is>
          <t>Replacement arm. Does not have to be paired. A Cyberarm has 4 Option Slots for Cyberarm or Cyberlimb Options, and each comes pre-installed with a Standard Hand that doesn't cost any Humanity Loss or take up a Cyberarm Op</t>
        </is>
      </c>
    </row>
    <row r="525">
      <c r="A525" s="21" t="inlineStr">
        <is>
          <t>Cyberdeck, Integrated</t>
        </is>
      </c>
      <c r="B525" s="21" t="inlineStr">
        <is>
          <t>Кибернетика</t>
        </is>
      </c>
      <c r="C525" s="21" t="inlineStr">
        <is>
          <t>Cyberlimbs</t>
        </is>
      </c>
      <c r="D525" s="21" t="inlineStr"/>
      <c r="E525" s="21" t="inlineStr"/>
      <c r="F525" s="31" t="n"/>
      <c r="G525" s="31" t="n"/>
      <c r="H525" s="31" t="n"/>
      <c r="I525" s="31" t="n"/>
      <c r="J525" s="31" t="n">
        <v>0</v>
      </c>
      <c r="K525" s="31" t="n">
        <v>0</v>
      </c>
      <c r="L525" s="31" t="n">
        <v>0</v>
      </c>
      <c r="M525" s="31" t="n">
        <v>3</v>
      </c>
      <c r="N525" s="21" t="inlineStr">
        <is>
          <t>Clinic</t>
        </is>
      </c>
      <c r="O525" s="21" t="inlineStr"/>
      <c r="P525" s="21" t="inlineStr"/>
      <c r="Q525" s="21" t="inlineStr"/>
      <c r="R525" s="40" t="n">
        <v>500</v>
      </c>
      <c r="S525" s="21" t="inlineStr">
        <is>
          <t>CP:R 364</t>
        </is>
      </c>
      <c r="T525" s="21" t="inlineStr">
        <is>
          <t>Cyberarm Option. Cyberdeck permanently installed into the user's Cyberarm. A Cyberdeck must be provided by the user at the time of installation. In addition to never accidentally misplacing your Cyberdeck, integration in</t>
        </is>
      </c>
    </row>
    <row r="526">
      <c r="A526" s="21" t="inlineStr">
        <is>
          <t>Grapple Hand</t>
        </is>
      </c>
      <c r="B526" s="21" t="inlineStr">
        <is>
          <t>Кибернетика</t>
        </is>
      </c>
      <c r="C526" s="21" t="inlineStr">
        <is>
          <t>Cyberlimbs</t>
        </is>
      </c>
      <c r="D526" s="21" t="inlineStr"/>
      <c r="E526" s="21" t="inlineStr"/>
      <c r="F526" s="31" t="n"/>
      <c r="G526" s="31" t="n"/>
      <c r="H526" s="31" t="n"/>
      <c r="I526" s="31" t="n"/>
      <c r="J526" s="31" t="n">
        <v>0</v>
      </c>
      <c r="K526" s="31" t="n">
        <v>0</v>
      </c>
      <c r="L526" s="31" t="n">
        <v>0</v>
      </c>
      <c r="M526" s="31" t="n">
        <v>3</v>
      </c>
      <c r="N526" s="21" t="inlineStr">
        <is>
          <t>Clinic</t>
        </is>
      </c>
      <c r="O526" s="21" t="inlineStr"/>
      <c r="P526" s="21" t="inlineStr"/>
      <c r="Q526" s="21" t="inlineStr"/>
      <c r="R526" s="40" t="n">
        <v>100</v>
      </c>
      <c r="S526" s="21" t="inlineStr">
        <is>
          <t>CP:R 365</t>
        </is>
      </c>
      <c r="T526" s="21" t="inlineStr">
        <is>
          <t>Cyberarm Option. User, as an Action, can fire a rocket propelled grapple that will attach securely to any Thick cover up to 30m/yds away. Line can only support two times the user's body weight, and has 10 HP. The user ne</t>
        </is>
      </c>
    </row>
    <row r="527">
      <c r="A527" s="21" t="inlineStr">
        <is>
          <t>Quick Change Mount</t>
        </is>
      </c>
      <c r="B527" s="21" t="inlineStr">
        <is>
          <t>Кибернетика</t>
        </is>
      </c>
      <c r="C527" s="21" t="inlineStr">
        <is>
          <t>Cyberlimbs</t>
        </is>
      </c>
      <c r="D527" s="21" t="inlineStr"/>
      <c r="E527" s="21" t="inlineStr"/>
      <c r="F527" s="31" t="n"/>
      <c r="G527" s="31" t="n"/>
      <c r="H527" s="31" t="n"/>
      <c r="I527" s="31" t="n"/>
      <c r="J527" s="31" t="n">
        <v>0</v>
      </c>
      <c r="K527" s="31" t="n">
        <v>0</v>
      </c>
      <c r="L527" s="31" t="n">
        <v>0</v>
      </c>
      <c r="M527" s="31" t="n">
        <v>7</v>
      </c>
      <c r="N527" s="21" t="inlineStr">
        <is>
          <t>Clinic</t>
        </is>
      </c>
      <c r="O527" s="21" t="inlineStr"/>
      <c r="P527" s="21" t="inlineStr"/>
      <c r="Q527" s="21" t="inlineStr"/>
      <c r="R527" s="40" t="n">
        <v>100</v>
      </c>
      <c r="S527" s="21" t="inlineStr">
        <is>
          <t>CP:R 365</t>
        </is>
      </c>
      <c r="T527" s="21" t="inlineStr">
        <is>
          <t>Cyberarm Option. Cyberarm can be installed in an open socket or uninstalled with an Action. The first time you install a brand new Cyberarm, whether using a Quick Change Mount or otherwise, you always accrue Humanity Los</t>
        </is>
      </c>
    </row>
    <row r="528">
      <c r="A528" s="21" t="inlineStr">
        <is>
          <t>Medscanner, Integrated</t>
        </is>
      </c>
      <c r="B528" s="21" t="inlineStr">
        <is>
          <t>Кибернетика</t>
        </is>
      </c>
      <c r="C528" s="21" t="inlineStr">
        <is>
          <t>Cyberlimbs</t>
        </is>
      </c>
      <c r="D528" s="21" t="inlineStr"/>
      <c r="E528" s="21" t="inlineStr"/>
      <c r="F528" s="31" t="n"/>
      <c r="G528" s="31" t="n"/>
      <c r="H528" s="31" t="n"/>
      <c r="I528" s="31" t="n"/>
      <c r="J528" s="31" t="n">
        <v>0</v>
      </c>
      <c r="K528" s="31" t="n">
        <v>0</v>
      </c>
      <c r="L528" s="31" t="n">
        <v>0</v>
      </c>
      <c r="M528" s="31" t="n">
        <v>7</v>
      </c>
      <c r="N528" s="21" t="inlineStr">
        <is>
          <t>Clinic</t>
        </is>
      </c>
      <c r="O528" s="21" t="inlineStr"/>
      <c r="P528" s="21" t="inlineStr"/>
      <c r="Q528" s="21" t="inlineStr"/>
      <c r="R528" s="40" t="n">
        <v>500</v>
      </c>
      <c r="S528" s="21" t="inlineStr">
        <is>
          <t>CP:R 365</t>
        </is>
      </c>
      <c r="T528" s="21" t="inlineStr">
        <is>
          <t>Cyberarm Option. Scanner with external probes and contacts diagnoses injury and illness, assisting user in medical emergencies not requiring the Surgery Skill. User adds +2 to their First Aid and Paramedic Skills. Requir</t>
        </is>
      </c>
    </row>
    <row r="529">
      <c r="A529" s="21" t="inlineStr">
        <is>
          <t>Popup Grenade Launcher</t>
        </is>
      </c>
      <c r="B529" s="21" t="inlineStr">
        <is>
          <t>Кибернетика</t>
        </is>
      </c>
      <c r="C529" s="21" t="inlineStr">
        <is>
          <t>Cyberlimbs</t>
        </is>
      </c>
      <c r="D529" s="21" t="inlineStr"/>
      <c r="E529" s="21" t="inlineStr"/>
      <c r="F529" s="31" t="n"/>
      <c r="G529" s="31" t="n"/>
      <c r="H529" s="31" t="n"/>
      <c r="I529" s="31" t="n"/>
      <c r="J529" s="31" t="n">
        <v>0</v>
      </c>
      <c r="K529" s="31" t="n">
        <v>0</v>
      </c>
      <c r="L529" s="31" t="n">
        <v>0</v>
      </c>
      <c r="M529" s="31" t="n">
        <v>7</v>
      </c>
      <c r="N529" s="21" t="inlineStr">
        <is>
          <t>Clinic</t>
        </is>
      </c>
      <c r="O529" s="21" t="inlineStr"/>
      <c r="P529" s="21" t="inlineStr"/>
      <c r="Q529" s="21" t="inlineStr"/>
      <c r="R529" s="40" t="n">
        <v>500</v>
      </c>
      <c r="S529" s="21" t="inlineStr">
        <is>
          <t>CP:R 365</t>
        </is>
      </c>
      <c r="T529" s="21" t="inlineStr">
        <is>
          <t>Cyberarm Option. A One-Handed Grenade Launcher with only a single grenade in its magazine that is incompatible with all Weapon Attachments except Smartgun Link is installed into the Cyberarm. Launcher can be successfully</t>
        </is>
      </c>
    </row>
    <row r="530">
      <c r="A530" s="21" t="inlineStr">
        <is>
          <t>Popup Melee Weapon</t>
        </is>
      </c>
      <c r="B530" s="21" t="inlineStr">
        <is>
          <t>Кибернетика</t>
        </is>
      </c>
      <c r="C530" s="21" t="inlineStr">
        <is>
          <t>Cyberlimbs</t>
        </is>
      </c>
      <c r="D530" s="21" t="inlineStr"/>
      <c r="E530" s="21" t="inlineStr"/>
      <c r="F530" s="31" t="n"/>
      <c r="G530" s="31" t="n"/>
      <c r="H530" s="31" t="n"/>
      <c r="I530" s="31" t="n"/>
      <c r="J530" s="31" t="n">
        <v>0</v>
      </c>
      <c r="K530" s="31" t="n">
        <v>0</v>
      </c>
      <c r="L530" s="31" t="n">
        <v>0</v>
      </c>
      <c r="M530" s="31" t="n">
        <v>7</v>
      </c>
      <c r="N530" s="21" t="inlineStr">
        <is>
          <t>Clinic</t>
        </is>
      </c>
      <c r="O530" s="21" t="inlineStr"/>
      <c r="P530" s="21" t="inlineStr"/>
      <c r="Q530" s="21" t="inlineStr"/>
      <c r="R530" s="40" t="n">
        <v>500</v>
      </c>
      <c r="S530" s="21" t="inlineStr">
        <is>
          <t>CP:R 365</t>
        </is>
      </c>
      <c r="T530" s="21" t="inlineStr">
        <is>
          <t>Cyberarm Option A One-Handed Light, Medium, or Heavy Melee Weapon (that need not be concealable before its installation) is installed in a Cyberarm so that it can be successfully concealed without a roll, and can be draw</t>
        </is>
      </c>
    </row>
    <row r="531">
      <c r="A531" s="21" t="inlineStr">
        <is>
          <t>Popup Ranged Weapon</t>
        </is>
      </c>
      <c r="B531" s="21" t="inlineStr">
        <is>
          <t>Кибернетика</t>
        </is>
      </c>
      <c r="C531" s="21" t="inlineStr">
        <is>
          <t>Cyberlimbs</t>
        </is>
      </c>
      <c r="D531" s="21" t="inlineStr"/>
      <c r="E531" s="21" t="inlineStr"/>
      <c r="F531" s="31" t="n"/>
      <c r="G531" s="31" t="n"/>
      <c r="H531" s="31" t="n"/>
      <c r="I531" s="31" t="n"/>
      <c r="J531" s="31" t="n">
        <v>0</v>
      </c>
      <c r="K531" s="31" t="n">
        <v>0</v>
      </c>
      <c r="L531" s="31" t="n">
        <v>0</v>
      </c>
      <c r="M531" s="31" t="n">
        <v>7</v>
      </c>
      <c r="N531" s="21" t="inlineStr">
        <is>
          <t>Clinic</t>
        </is>
      </c>
      <c r="O531" s="21" t="inlineStr"/>
      <c r="P531" s="21" t="inlineStr"/>
      <c r="Q531" s="21" t="inlineStr"/>
      <c r="R531" s="40" t="n">
        <v>500</v>
      </c>
      <c r="S531" s="21" t="inlineStr">
        <is>
          <t>CP:R 365</t>
        </is>
      </c>
      <c r="T531" s="21" t="inlineStr">
        <is>
          <t>Cyberarm Option. A One-Handed Ranged Weapon (that need not be concealable before its installation) provided by the user is permanently installed into the Cyberarm (along with any weapon attachments attached to it) so tha</t>
        </is>
      </c>
    </row>
    <row r="532">
      <c r="A532" s="21" t="inlineStr">
        <is>
          <t>Popup Shield</t>
        </is>
      </c>
      <c r="B532" s="21" t="inlineStr">
        <is>
          <t>Кибернетика</t>
        </is>
      </c>
      <c r="C532" s="21" t="inlineStr">
        <is>
          <t>Cyberlimbs</t>
        </is>
      </c>
      <c r="D532" s="21" t="inlineStr"/>
      <c r="E532" s="21" t="inlineStr"/>
      <c r="F532" s="31" t="n"/>
      <c r="G532" s="31" t="n"/>
      <c r="H532" s="31" t="n"/>
      <c r="I532" s="31" t="n"/>
      <c r="J532" s="31" t="n">
        <v>0</v>
      </c>
      <c r="K532" s="31" t="n">
        <v>0</v>
      </c>
      <c r="L532" s="31" t="n">
        <v>0</v>
      </c>
      <c r="M532" s="31" t="n">
        <v>7</v>
      </c>
      <c r="N532" s="21" t="inlineStr">
        <is>
          <t>Clinic</t>
        </is>
      </c>
      <c r="O532" s="21" t="inlineStr"/>
      <c r="P532" s="21" t="inlineStr"/>
      <c r="Q532" s="21" t="inlineStr"/>
      <c r="R532" s="40" t="n">
        <v>500</v>
      </c>
      <c r="S532" s="21" t="inlineStr">
        <is>
          <t>CP:R 365</t>
        </is>
      </c>
      <c r="T532" s="21" t="inlineStr">
        <is>
          <t xml:space="preserve">Cyberarm Option. A Bulletproof Shield which is concealed while it is folded inside the Cyberarm. It can be drawn or stowed without an Action, provided that the shield has more than 0 HP. When extended, you can't use the </t>
        </is>
      </c>
    </row>
    <row r="533">
      <c r="A533" s="21" t="inlineStr">
        <is>
          <t>Rippers</t>
        </is>
      </c>
      <c r="B533" s="21" t="inlineStr">
        <is>
          <t>Кибернетика</t>
        </is>
      </c>
      <c r="C533" s="21" t="inlineStr">
        <is>
          <t>Cyberlimbs</t>
        </is>
      </c>
      <c r="D533" s="21" t="inlineStr"/>
      <c r="E533" s="21" t="inlineStr"/>
      <c r="F533" s="31" t="n"/>
      <c r="G533" s="31" t="n"/>
      <c r="H533" s="31" t="n"/>
      <c r="I533" s="31" t="n"/>
      <c r="J533" s="31" t="n">
        <v>0</v>
      </c>
      <c r="K533" s="31" t="n">
        <v>0</v>
      </c>
      <c r="L533" s="31" t="n">
        <v>0</v>
      </c>
      <c r="M533" s="31" t="n">
        <v>3</v>
      </c>
      <c r="N533" s="21" t="inlineStr">
        <is>
          <t>Clinic</t>
        </is>
      </c>
      <c r="O533" s="21" t="inlineStr"/>
      <c r="P533" s="21" t="inlineStr"/>
      <c r="Q533" s="21" t="inlineStr"/>
      <c r="R533" s="40" t="n">
        <v>500</v>
      </c>
      <c r="S533" s="21" t="inlineStr">
        <is>
          <t>CP:R 365</t>
        </is>
      </c>
      <c r="T533" s="21" t="inlineStr">
        <is>
          <t>Cyberarm Option. Extendable Carbo-glass fingernails. A Medium Melee Weapon (2d6 damage, 2 ROF) that can be successfully concealed without a Check. When wielded as a weapon, user can't hold anything in this arm's hand. Ca</t>
        </is>
      </c>
    </row>
    <row r="534">
      <c r="A534" s="21" t="inlineStr">
        <is>
          <t>Cyberleg</t>
        </is>
      </c>
      <c r="B534" s="21" t="inlineStr">
        <is>
          <t>Кибернетика</t>
        </is>
      </c>
      <c r="C534" s="21" t="inlineStr">
        <is>
          <t>Cyberlimbs</t>
        </is>
      </c>
      <c r="D534" s="21" t="inlineStr"/>
      <c r="E534" s="21" t="inlineStr"/>
      <c r="F534" s="31" t="n"/>
      <c r="G534" s="31" t="n"/>
      <c r="H534" s="31" t="n"/>
      <c r="I534" s="31" t="n"/>
      <c r="J534" s="31" t="n">
        <v>0</v>
      </c>
      <c r="K534" s="31" t="n">
        <v>0</v>
      </c>
      <c r="L534" s="31" t="n">
        <v>0</v>
      </c>
      <c r="M534" s="31" t="n">
        <v>3</v>
      </c>
      <c r="N534" s="21" t="inlineStr">
        <is>
          <t>Hospital</t>
        </is>
      </c>
      <c r="O534" s="21" t="inlineStr"/>
      <c r="P534" s="21" t="inlineStr"/>
      <c r="Q534" s="21" t="inlineStr"/>
      <c r="R534" s="40" t="n">
        <v>100</v>
      </c>
      <c r="S534" s="21" t="inlineStr">
        <is>
          <t>CP:R 366</t>
        </is>
      </c>
      <c r="T534" s="21" t="inlineStr">
        <is>
          <t>Replacement leg. Does not have to be paired. A Cyberleg has 3 Option Slots for Cyberleg or Cyberlimb Options and each comes pre-installed with a Standard Foot that doesn't cost any Humanity Loss or take up a Cyberleg Opt</t>
        </is>
      </c>
    </row>
    <row r="535">
      <c r="A535" s="21" t="inlineStr">
        <is>
          <t>Standard Foot</t>
        </is>
      </c>
      <c r="B535" s="21" t="inlineStr">
        <is>
          <t>Кибернетика</t>
        </is>
      </c>
      <c r="C535" s="21" t="inlineStr">
        <is>
          <t>Cyberlimbs</t>
        </is>
      </c>
      <c r="D535" s="21" t="inlineStr"/>
      <c r="E535" s="21" t="inlineStr"/>
      <c r="F535" s="31" t="n"/>
      <c r="G535" s="31" t="n"/>
      <c r="H535" s="31" t="n"/>
      <c r="I535" s="31" t="n"/>
      <c r="J535" s="31" t="n">
        <v>0</v>
      </c>
      <c r="K535" s="31" t="n">
        <v>0</v>
      </c>
      <c r="L535" s="31" t="n">
        <v>0</v>
      </c>
      <c r="M535" s="31" t="n">
        <v>2</v>
      </c>
      <c r="N535" s="21" t="inlineStr">
        <is>
          <t>Clinic</t>
        </is>
      </c>
      <c r="O535" s="21" t="inlineStr"/>
      <c r="P535" s="21" t="inlineStr"/>
      <c r="Q535" s="21" t="inlineStr"/>
      <c r="R535" s="40" t="n">
        <v>100</v>
      </c>
      <c r="S535" s="21" t="inlineStr">
        <is>
          <t>CP:R 366</t>
        </is>
      </c>
      <c r="T535" s="21" t="inlineStr">
        <is>
          <t>Resembles a normal foot. If installed into a meat leg, a Standard Foot doesn't count towards the number of pieces of cyberware installed in a meat leg. Doesn't take up a Cyberleg Option Slot.</t>
        </is>
      </c>
    </row>
    <row r="536">
      <c r="A536" s="21" t="inlineStr">
        <is>
          <t>Scratchers</t>
        </is>
      </c>
      <c r="B536" s="21" t="inlineStr">
        <is>
          <t>Кибернетика</t>
        </is>
      </c>
      <c r="C536" s="21" t="inlineStr">
        <is>
          <t>Cyberlimbs</t>
        </is>
      </c>
      <c r="D536" s="21" t="inlineStr"/>
      <c r="E536" s="21" t="inlineStr"/>
      <c r="F536" s="31" t="n"/>
      <c r="G536" s="31" t="n"/>
      <c r="H536" s="31" t="n"/>
      <c r="I536" s="31" t="n"/>
      <c r="J536" s="31" t="n">
        <v>0</v>
      </c>
      <c r="K536" s="31" t="n">
        <v>0</v>
      </c>
      <c r="L536" s="31" t="n">
        <v>0</v>
      </c>
      <c r="M536" s="31" t="n">
        <v>2</v>
      </c>
      <c r="N536" s="21" t="inlineStr">
        <is>
          <t>Mall</t>
        </is>
      </c>
      <c r="O536" s="21" t="inlineStr"/>
      <c r="P536" s="21" t="inlineStr"/>
      <c r="Q536" s="21" t="inlineStr"/>
      <c r="R536" s="40" t="n">
        <v>100</v>
      </c>
      <c r="S536" s="21" t="inlineStr">
        <is>
          <t>CP:R 366</t>
        </is>
      </c>
      <c r="T536" s="21" t="inlineStr">
        <is>
          <t>Cyberarm Option. Carbo-glass artificial fingernails that cut on a diagonal slice. A Light Melee Weapon (1d6 damage, 2 ROF) that can be successfully concealed without a Check. When wielded as a weapon, user can't hold any</t>
        </is>
      </c>
    </row>
    <row r="537">
      <c r="A537" s="21" t="inlineStr">
        <is>
          <t>Tool Hand</t>
        </is>
      </c>
      <c r="B537" s="21" t="inlineStr">
        <is>
          <t>Кибернетика</t>
        </is>
      </c>
      <c r="C537" s="21" t="inlineStr">
        <is>
          <t>Cyberlimbs</t>
        </is>
      </c>
      <c r="D537" s="21" t="inlineStr"/>
      <c r="E537" s="21" t="inlineStr"/>
      <c r="F537" s="31" t="n"/>
      <c r="G537" s="31" t="n"/>
      <c r="H537" s="31" t="n"/>
      <c r="I537" s="31" t="n"/>
      <c r="J537" s="31" t="n">
        <v>0</v>
      </c>
      <c r="K537" s="31" t="n">
        <v>0</v>
      </c>
      <c r="L537" s="31" t="n">
        <v>0</v>
      </c>
      <c r="M537" s="31" t="n">
        <v>3</v>
      </c>
      <c r="N537" s="21" t="inlineStr">
        <is>
          <t>Clinic</t>
        </is>
      </c>
      <c r="O537" s="21" t="inlineStr"/>
      <c r="P537" s="21" t="inlineStr"/>
      <c r="Q537" s="21" t="inlineStr"/>
      <c r="R537" s="40" t="n">
        <v>100</v>
      </c>
      <c r="S537" s="21" t="inlineStr">
        <is>
          <t>CP:R 366</t>
        </is>
      </c>
      <c r="T537" s="21" t="inlineStr">
        <is>
          <t>Cyberarm Option. Fingers contain screwdriver, wrench, small drill, etc. Never be without your Techtool! Can be installed as the only piece of Cyberware in a meat arm.</t>
        </is>
      </c>
    </row>
    <row r="538">
      <c r="A538" s="21" t="inlineStr">
        <is>
          <t>Grip Foot</t>
        </is>
      </c>
      <c r="B538" s="21" t="inlineStr">
        <is>
          <t>Кибернетика</t>
        </is>
      </c>
      <c r="C538" s="21" t="inlineStr">
        <is>
          <t>Cyberlimbs</t>
        </is>
      </c>
      <c r="D538" s="21" t="inlineStr"/>
      <c r="E538" s="21" t="inlineStr"/>
      <c r="F538" s="31" t="n"/>
      <c r="G538" s="31" t="n"/>
      <c r="H538" s="31" t="n"/>
      <c r="I538" s="31" t="n"/>
      <c r="J538" s="31" t="n">
        <v>0</v>
      </c>
      <c r="K538" s="31" t="n">
        <v>0</v>
      </c>
      <c r="L538" s="31" t="n">
        <v>0</v>
      </c>
      <c r="M538" s="31" t="n">
        <v>3</v>
      </c>
      <c r="N538" s="21" t="inlineStr">
        <is>
          <t>Clinic</t>
        </is>
      </c>
      <c r="O538" s="21" t="inlineStr"/>
      <c r="P538" s="21" t="inlineStr"/>
      <c r="Q538" s="21" t="inlineStr"/>
      <c r="R538" s="40" t="n">
        <v>500</v>
      </c>
      <c r="S538" s="21" t="inlineStr">
        <is>
          <t>CP:R 366</t>
        </is>
      </c>
      <c r="T538" s="21" t="inlineStr">
        <is>
          <t>Cyberleg Option. Feet are coated with state-of-the-art traction material. The user negates the normal movement penalty for climbing. Requires two Cyberlegs and must be paired.</t>
        </is>
      </c>
    </row>
    <row r="539">
      <c r="A539" s="21" t="inlineStr">
        <is>
          <t>Jump Booster</t>
        </is>
      </c>
      <c r="B539" s="21" t="inlineStr">
        <is>
          <t>Кибернетика</t>
        </is>
      </c>
      <c r="C539" s="21" t="inlineStr">
        <is>
          <t>Cyberlimbs</t>
        </is>
      </c>
      <c r="D539" s="21" t="inlineStr"/>
      <c r="E539" s="21" t="inlineStr"/>
      <c r="F539" s="31" t="n"/>
      <c r="G539" s="31" t="n"/>
      <c r="H539" s="31" t="n"/>
      <c r="I539" s="31" t="n"/>
      <c r="J539" s="31" t="n">
        <v>0</v>
      </c>
      <c r="K539" s="31" t="n">
        <v>0</v>
      </c>
      <c r="L539" s="31" t="n">
        <v>0</v>
      </c>
      <c r="M539" s="31" t="n">
        <v>3</v>
      </c>
      <c r="N539" s="21" t="inlineStr">
        <is>
          <t>Clinic</t>
        </is>
      </c>
      <c r="O539" s="21" t="inlineStr"/>
      <c r="P539" s="21" t="inlineStr"/>
      <c r="Q539" s="21" t="inlineStr"/>
      <c r="R539" s="40" t="n">
        <v>500</v>
      </c>
      <c r="S539" s="21" t="inlineStr">
        <is>
          <t>CP:R 366</t>
        </is>
      </c>
      <c r="T539" s="21" t="inlineStr">
        <is>
          <t>Hydraulics in legs. Negates movement penalty when jumping. Requires two Cyberlegs, takes up 2 Option Slots, and must be paired.</t>
        </is>
      </c>
    </row>
    <row r="540">
      <c r="A540" s="21" t="inlineStr">
        <is>
          <t>Shoulder Cam</t>
        </is>
      </c>
      <c r="B540" s="21" t="inlineStr">
        <is>
          <t>Кибернетика</t>
        </is>
      </c>
      <c r="C540" s="21" t="inlineStr">
        <is>
          <t>Cyberlimbs</t>
        </is>
      </c>
      <c r="D540" s="21" t="inlineStr"/>
      <c r="E540" s="21" t="inlineStr"/>
      <c r="F540" s="31" t="n"/>
      <c r="G540" s="31" t="n"/>
      <c r="H540" s="31" t="n"/>
      <c r="I540" s="31" t="n"/>
      <c r="J540" s="31" t="n">
        <v>0</v>
      </c>
      <c r="K540" s="31" t="n">
        <v>0</v>
      </c>
      <c r="L540" s="31" t="n">
        <v>0</v>
      </c>
      <c r="M540" s="31" t="n">
        <v>7</v>
      </c>
      <c r="N540" s="21" t="inlineStr">
        <is>
          <t>Clinic</t>
        </is>
      </c>
      <c r="O540" s="21" t="inlineStr"/>
      <c r="P540" s="21" t="inlineStr"/>
      <c r="Q540" s="21" t="inlineStr"/>
      <c r="R540" s="40" t="n">
        <v>500</v>
      </c>
      <c r="S540" s="21" t="inlineStr">
        <is>
          <t>CP:R 366</t>
        </is>
      </c>
      <c r="T540" s="21" t="inlineStr">
        <is>
          <t>Cyberarm Option. Camera in a popup in the user's shoulder that tracks independently of the user and records video and audio to an onboard Memory Chip or a linked Agent. Camera can be successfully concealed without a Chec</t>
        </is>
      </c>
    </row>
    <row r="541">
      <c r="A541" s="21" t="inlineStr">
        <is>
          <t>Skate Foot</t>
        </is>
      </c>
      <c r="B541" s="21" t="inlineStr">
        <is>
          <t>Кибернетика</t>
        </is>
      </c>
      <c r="C541" s="21" t="inlineStr">
        <is>
          <t>Cyberlimbs</t>
        </is>
      </c>
      <c r="D541" s="21" t="inlineStr"/>
      <c r="E541" s="21" t="inlineStr"/>
      <c r="F541" s="31" t="n"/>
      <c r="G541" s="31" t="n"/>
      <c r="H541" s="31" t="n"/>
      <c r="I541" s="31" t="n"/>
      <c r="J541" s="31" t="n">
        <v>0</v>
      </c>
      <c r="K541" s="31" t="n">
        <v>0</v>
      </c>
      <c r="L541" s="31" t="n">
        <v>0</v>
      </c>
      <c r="M541" s="31" t="n">
        <v>3</v>
      </c>
      <c r="N541" s="21" t="inlineStr">
        <is>
          <t>Clinic</t>
        </is>
      </c>
      <c r="O541" s="21" t="inlineStr"/>
      <c r="P541" s="21" t="inlineStr"/>
      <c r="Q541" s="21" t="inlineStr"/>
      <c r="R541" s="40" t="n">
        <v>500</v>
      </c>
      <c r="S541" s="21" t="inlineStr">
        <is>
          <t>CP:R 366</t>
        </is>
      </c>
      <c r="T541" s="21" t="inlineStr">
        <is>
          <t>Inline skates built into feet. Can be concealed. Increases movement by 6m/yds when using Run Action. Requires two Cyberlegs and must be paired.</t>
        </is>
      </c>
    </row>
    <row r="542">
      <c r="A542" s="21" t="inlineStr">
        <is>
          <t>Slice ‘N Dice</t>
        </is>
      </c>
      <c r="B542" s="21" t="inlineStr">
        <is>
          <t>Кибернетика</t>
        </is>
      </c>
      <c r="C542" s="21" t="inlineStr">
        <is>
          <t>Cyberlimbs</t>
        </is>
      </c>
      <c r="D542" s="21" t="inlineStr"/>
      <c r="E542" s="21" t="inlineStr"/>
      <c r="F542" s="31" t="n"/>
      <c r="G542" s="31" t="n"/>
      <c r="H542" s="31" t="n"/>
      <c r="I542" s="31" t="n"/>
      <c r="J542" s="31" t="n">
        <v>0</v>
      </c>
      <c r="K542" s="31" t="n">
        <v>0</v>
      </c>
      <c r="L542" s="31" t="n">
        <v>0</v>
      </c>
      <c r="M542" s="31" t="n">
        <v>3</v>
      </c>
      <c r="N542" s="21" t="inlineStr">
        <is>
          <t>Clinic</t>
        </is>
      </c>
      <c r="O542" s="21" t="inlineStr"/>
      <c r="P542" s="21" t="inlineStr"/>
      <c r="Q542" s="21" t="inlineStr"/>
      <c r="R542" s="40" t="n">
        <v>500</v>
      </c>
      <c r="S542" s="21" t="inlineStr">
        <is>
          <t>CP:R 366</t>
        </is>
      </c>
      <c r="T542" s="21" t="inlineStr">
        <is>
          <t>Cyberarm Option. Monofilament whip implanted in the user's thumb. A Medium Melee Weapon (2d6 damage, 2 ROF) that can be successfully concealed without a Check. When wielded as a weapon, user can't hold anything in this a</t>
        </is>
      </c>
    </row>
    <row r="543">
      <c r="A543" s="21" t="inlineStr">
        <is>
          <t>Techscanner, Integrated</t>
        </is>
      </c>
      <c r="B543" s="21" t="inlineStr">
        <is>
          <t>Кибернетика</t>
        </is>
      </c>
      <c r="C543" s="21" t="inlineStr">
        <is>
          <t>Cyberlimbs</t>
        </is>
      </c>
      <c r="D543" s="21" t="inlineStr"/>
      <c r="E543" s="21" t="inlineStr"/>
      <c r="F543" s="31" t="n"/>
      <c r="G543" s="31" t="n"/>
      <c r="H543" s="31" t="n"/>
      <c r="I543" s="31" t="n"/>
      <c r="J543" s="31" t="n">
        <v>0</v>
      </c>
      <c r="K543" s="31" t="n">
        <v>0</v>
      </c>
      <c r="L543" s="31" t="n">
        <v>0</v>
      </c>
      <c r="M543" s="31" t="n">
        <v>7</v>
      </c>
      <c r="N543" s="21" t="inlineStr">
        <is>
          <t>Clinic</t>
        </is>
      </c>
      <c r="O543" s="21" t="inlineStr"/>
      <c r="P543" s="21" t="inlineStr"/>
      <c r="Q543" s="21" t="inlineStr"/>
      <c r="R543" s="40" t="n">
        <v>500</v>
      </c>
      <c r="S543" s="21" t="inlineStr">
        <is>
          <t>CP:R 366</t>
        </is>
      </c>
      <c r="T543" s="21" t="inlineStr">
        <is>
          <t>Cyberarm Option. Scanner diagnoses a wide variety of machinery and electronics, assisting the user in repairs or other technical work. User adds +2 to their Basic Tech, Cybertech, Land Vehicle Tech, Sea Vehicle Tech, Air</t>
        </is>
      </c>
    </row>
    <row r="544">
      <c r="A544" s="21" t="inlineStr">
        <is>
          <t>Wolvers</t>
        </is>
      </c>
      <c r="B544" s="21" t="inlineStr">
        <is>
          <t>Кибернетика</t>
        </is>
      </c>
      <c r="C544" s="21" t="inlineStr">
        <is>
          <t>Cyberlimbs</t>
        </is>
      </c>
      <c r="D544" s="21" t="inlineStr"/>
      <c r="E544" s="21" t="inlineStr"/>
      <c r="F544" s="31" t="n"/>
      <c r="G544" s="31" t="n"/>
      <c r="H544" s="31" t="n"/>
      <c r="I544" s="31" t="n"/>
      <c r="J544" s="31" t="n">
        <v>0</v>
      </c>
      <c r="K544" s="31" t="n">
        <v>0</v>
      </c>
      <c r="L544" s="31" t="n">
        <v>0</v>
      </c>
      <c r="M544" s="31" t="n">
        <v>7</v>
      </c>
      <c r="N544" s="21" t="inlineStr">
        <is>
          <t>Clinic</t>
        </is>
      </c>
      <c r="O544" s="21" t="inlineStr"/>
      <c r="P544" s="21" t="inlineStr"/>
      <c r="Q544" s="21" t="inlineStr"/>
      <c r="R544" s="40" t="n">
        <v>500</v>
      </c>
      <c r="S544" s="21" t="inlineStr">
        <is>
          <t>CP:R 366</t>
        </is>
      </c>
      <c r="T544" s="21" t="inlineStr">
        <is>
          <t>Cyberarm Option. Extendable Carbo-glass claws in the knuckles. A Heavy Melee Weapon (3d6 damage, 2 ROF) that can be successfully concealed without a Check. When wielded as a weapon, user can't hold anything in this arm's</t>
        </is>
      </c>
    </row>
    <row r="545">
      <c r="A545" s="21" t="inlineStr">
        <is>
          <t>Plastic Covering</t>
        </is>
      </c>
      <c r="B545" s="21" t="inlineStr">
        <is>
          <t>Кибернетика</t>
        </is>
      </c>
      <c r="C545" s="21" t="inlineStr">
        <is>
          <t>Cyberlimbs</t>
        </is>
      </c>
      <c r="D545" s="21" t="inlineStr"/>
      <c r="E545" s="21" t="inlineStr"/>
      <c r="F545" s="31" t="n"/>
      <c r="G545" s="31" t="n"/>
      <c r="H545" s="31" t="n"/>
      <c r="I545" s="31" t="n"/>
      <c r="J545" s="31" t="n">
        <v>0</v>
      </c>
      <c r="K545" s="31" t="n">
        <v>0</v>
      </c>
      <c r="L545" s="31" t="n">
        <v>0</v>
      </c>
      <c r="M545" s="31" t="n">
        <v>0</v>
      </c>
      <c r="N545" s="21" t="inlineStr">
        <is>
          <t>Mall</t>
        </is>
      </c>
      <c r="O545" s="21" t="inlineStr"/>
      <c r="P545" s="21" t="inlineStr"/>
      <c r="Q545" s="21" t="inlineStr"/>
      <c r="R545" s="40" t="n">
        <v>100</v>
      </c>
      <c r="S545" s="21" t="inlineStr">
        <is>
          <t>CP:R 367</t>
        </is>
      </c>
      <c r="T545" s="21" t="inlineStr">
        <is>
          <t>Cyberlimb Option. Plastic coating for Cyberlimb. Available in wide variety of colors and patterns. Requires a Cyberarm or Cyberleg but does not take an Option Slot.</t>
        </is>
      </c>
    </row>
    <row r="546">
      <c r="A546" s="21" t="inlineStr">
        <is>
          <t>RealskinnTM Covering</t>
        </is>
      </c>
      <c r="B546" s="21" t="inlineStr">
        <is>
          <t>Кибернетика</t>
        </is>
      </c>
      <c r="C546" s="21" t="inlineStr">
        <is>
          <t>Cyberlimbs</t>
        </is>
      </c>
      <c r="D546" s="21" t="inlineStr"/>
      <c r="E546" s="21" t="inlineStr"/>
      <c r="F546" s="31" t="n"/>
      <c r="G546" s="31" t="n"/>
      <c r="H546" s="31" t="n"/>
      <c r="I546" s="31" t="n"/>
      <c r="J546" s="31" t="n">
        <v>0</v>
      </c>
      <c r="K546" s="31" t="n">
        <v>0</v>
      </c>
      <c r="L546" s="31" t="n">
        <v>0</v>
      </c>
      <c r="M546" s="31" t="n">
        <v>0</v>
      </c>
      <c r="N546" s="21" t="inlineStr">
        <is>
          <t>Mall</t>
        </is>
      </c>
      <c r="O546" s="21" t="inlineStr"/>
      <c r="P546" s="21" t="inlineStr"/>
      <c r="Q546" s="21" t="inlineStr"/>
      <c r="R546" s="40" t="n">
        <v>500</v>
      </c>
      <c r="S546" s="21" t="inlineStr">
        <is>
          <t>CP:R 367</t>
        </is>
      </c>
      <c r="T546" s="21" t="inlineStr">
        <is>
          <t>Cyberlimb Option. Artificial skin coating for Cyberlimb. Requires a Cyberarm or Cyberleg but does not take an Option Slot.</t>
        </is>
      </c>
    </row>
    <row r="547">
      <c r="A547" s="21" t="inlineStr">
        <is>
          <t>Talon Foot</t>
        </is>
      </c>
      <c r="B547" s="21" t="inlineStr">
        <is>
          <t>Кибернетика</t>
        </is>
      </c>
      <c r="C547" s="21" t="inlineStr">
        <is>
          <t>Cyberlimbs</t>
        </is>
      </c>
      <c r="D547" s="21" t="inlineStr"/>
      <c r="E547" s="21" t="inlineStr"/>
      <c r="F547" s="31" t="n"/>
      <c r="G547" s="31" t="n"/>
      <c r="H547" s="31" t="n"/>
      <c r="I547" s="31" t="n"/>
      <c r="J547" s="31" t="n">
        <v>0</v>
      </c>
      <c r="K547" s="31" t="n">
        <v>0</v>
      </c>
      <c r="L547" s="31" t="n">
        <v>0</v>
      </c>
      <c r="M547" s="31" t="n">
        <v>3</v>
      </c>
      <c r="N547" s="21" t="inlineStr">
        <is>
          <t>Clinic</t>
        </is>
      </c>
      <c r="O547" s="21" t="inlineStr"/>
      <c r="P547" s="21" t="inlineStr"/>
      <c r="Q547" s="21" t="inlineStr"/>
      <c r="R547" s="40" t="n">
        <v>500</v>
      </c>
      <c r="S547" s="21" t="inlineStr">
        <is>
          <t>CP:R 367</t>
        </is>
      </c>
      <c r="T547" s="21" t="inlineStr">
        <is>
          <t>Blade mounted in foot. Light Melee Weapon. Can be concealed without a Check. Can be installed as the only piece of Cyberware in a meat leg.</t>
        </is>
      </c>
    </row>
    <row r="548">
      <c r="A548" s="21" t="inlineStr">
        <is>
          <t>Web Foot</t>
        </is>
      </c>
      <c r="B548" s="21" t="inlineStr">
        <is>
          <t>Кибернетика</t>
        </is>
      </c>
      <c r="C548" s="21" t="inlineStr">
        <is>
          <t>Cyberlimbs</t>
        </is>
      </c>
      <c r="D548" s="21" t="inlineStr"/>
      <c r="E548" s="21" t="inlineStr"/>
      <c r="F548" s="31" t="n"/>
      <c r="G548" s="31" t="n"/>
      <c r="H548" s="31" t="n"/>
      <c r="I548" s="31" t="n"/>
      <c r="J548" s="31" t="n">
        <v>0</v>
      </c>
      <c r="K548" s="31" t="n">
        <v>0</v>
      </c>
      <c r="L548" s="31" t="n">
        <v>0</v>
      </c>
      <c r="M548" s="31" t="n">
        <v>3</v>
      </c>
      <c r="N548" s="21" t="inlineStr">
        <is>
          <t>Clinic</t>
        </is>
      </c>
      <c r="O548" s="21" t="inlineStr"/>
      <c r="P548" s="21" t="inlineStr"/>
      <c r="Q548" s="21" t="inlineStr"/>
      <c r="R548" s="40" t="n">
        <v>500</v>
      </c>
      <c r="S548" s="21" t="inlineStr">
        <is>
          <t>CP:R 367</t>
        </is>
      </c>
      <c r="T548" s="21" t="inlineStr">
        <is>
          <t>Thin webbing between toes. Negates movement penalty when swimming. Requires Two Cyberlegs and must be paired.</t>
        </is>
      </c>
    </row>
    <row r="549">
      <c r="A549" s="21" t="inlineStr">
        <is>
          <t>Hardened Shielding</t>
        </is>
      </c>
      <c r="B549" s="21" t="inlineStr">
        <is>
          <t>Кибернетика</t>
        </is>
      </c>
      <c r="C549" s="21" t="inlineStr">
        <is>
          <t>Cyberlimbs</t>
        </is>
      </c>
      <c r="D549" s="21" t="inlineStr"/>
      <c r="E549" s="21" t="inlineStr"/>
      <c r="F549" s="31" t="n"/>
      <c r="G549" s="31" t="n"/>
      <c r="H549" s="31" t="n"/>
      <c r="I549" s="31" t="n"/>
      <c r="J549" s="31" t="n">
        <v>0</v>
      </c>
      <c r="K549" s="31" t="n">
        <v>0</v>
      </c>
      <c r="L549" s="31" t="n">
        <v>0</v>
      </c>
      <c r="M549" s="31" t="n">
        <v>3</v>
      </c>
      <c r="N549" s="21" t="inlineStr">
        <is>
          <t>Clinic</t>
        </is>
      </c>
      <c r="O549" s="21" t="inlineStr"/>
      <c r="P549" s="21" t="inlineStr"/>
      <c r="Q549" s="21" t="inlineStr"/>
      <c r="R549" s="40" t="n">
        <v>1000</v>
      </c>
      <c r="S549" s="21" t="inlineStr">
        <is>
          <t>CP:R 367</t>
        </is>
      </c>
      <c r="T549" s="21" t="inlineStr">
        <is>
          <t>Cyberlimb Option. Cyberlimb and installed options cannot be rendered inoperable by EMP effects, like Microwaver pulses, or Non-Black ICE Program effects. Requires Cyberarm or Cyberleg.</t>
        </is>
      </c>
    </row>
    <row r="550">
      <c r="A550" s="21" t="inlineStr">
        <is>
          <t>Superchrome® Covering</t>
        </is>
      </c>
      <c r="B550" s="21" t="inlineStr">
        <is>
          <t>Кибернетика</t>
        </is>
      </c>
      <c r="C550" s="21" t="inlineStr">
        <is>
          <t>Cyberlimbs</t>
        </is>
      </c>
      <c r="D550" s="21" t="inlineStr"/>
      <c r="E550" s="21" t="inlineStr"/>
      <c r="F550" s="31" t="n"/>
      <c r="G550" s="31" t="n"/>
      <c r="H550" s="31" t="n"/>
      <c r="I550" s="31" t="n"/>
      <c r="J550" s="31" t="n">
        <v>0</v>
      </c>
      <c r="K550" s="31" t="n">
        <v>0</v>
      </c>
      <c r="L550" s="31" t="n">
        <v>0</v>
      </c>
      <c r="M550" s="31" t="n">
        <v>0</v>
      </c>
      <c r="N550" s="21" t="inlineStr">
        <is>
          <t>Mall</t>
        </is>
      </c>
      <c r="O550" s="21" t="inlineStr"/>
      <c r="P550" s="21" t="inlineStr"/>
      <c r="Q550" s="21" t="inlineStr"/>
      <c r="R550" s="40" t="n">
        <v>1000</v>
      </c>
      <c r="S550" s="21" t="inlineStr">
        <is>
          <t>CP:R 367</t>
        </is>
      </c>
      <c r="T550" s="21" t="inlineStr">
        <is>
          <t>Cyberlimb Option. Shiny metallic coating for Cyberlimb. +2 to Wardrobe and Style. This bonus only applies once. Requires a Cyberarm or Cyberleg but does not take an Option Slot.</t>
        </is>
      </c>
    </row>
    <row r="551">
      <c r="A551" s="21" t="inlineStr">
        <is>
          <t>Hello Cutie Mono-Paw</t>
        </is>
      </c>
      <c r="B551" s="21" t="inlineStr">
        <is>
          <t>Кибернетика</t>
        </is>
      </c>
      <c r="C551" s="21" t="inlineStr">
        <is>
          <t>Cyberlimbs</t>
        </is>
      </c>
      <c r="D551" s="21" t="inlineStr"/>
      <c r="E551" s="21" t="inlineStr"/>
      <c r="F551" s="31" t="n"/>
      <c r="G551" s="31" t="n"/>
      <c r="H551" s="31" t="n"/>
      <c r="I551" s="31" t="n"/>
      <c r="J551" s="31" t="n">
        <v>0</v>
      </c>
      <c r="K551" s="31" t="n">
        <v>0</v>
      </c>
      <c r="L551" s="31" t="n">
        <v>0</v>
      </c>
      <c r="M551" s="31" t="n">
        <v>7</v>
      </c>
      <c r="N551" s="21" t="inlineStr">
        <is>
          <t>Clinic</t>
        </is>
      </c>
      <c r="O551" s="21" t="inlineStr"/>
      <c r="P551" s="21" t="inlineStr"/>
      <c r="Q551" s="21" t="inlineStr"/>
      <c r="R551" s="40" t="n">
        <v>500</v>
      </c>
      <c r="S551" s="21" t="inlineStr">
        <is>
          <t>DL:12Cute 6</t>
        </is>
      </c>
      <c r="T551" s="21" t="inlineStr">
        <is>
          <t>Razor-sharp, retractable cat claws with monomolecular tips. Meeyooowch! Originally produced by Kendachi as part of a joint venture with Sanroo’s Hello Cutie brand, this cyberware has since found its way into the playbook</t>
        </is>
      </c>
    </row>
    <row r="552">
      <c r="A552" s="21" t="inlineStr">
        <is>
          <t>ChainRipp</t>
        </is>
      </c>
      <c r="B552" s="21" t="inlineStr">
        <is>
          <t>Кибернетика</t>
        </is>
      </c>
      <c r="C552" s="21" t="inlineStr">
        <is>
          <t>Cyberlimbs</t>
        </is>
      </c>
      <c r="D552" s="21" t="inlineStr"/>
      <c r="E552" s="21" t="inlineStr"/>
      <c r="F552" s="31" t="n"/>
      <c r="G552" s="31" t="n"/>
      <c r="H552" s="31" t="n"/>
      <c r="I552" s="31" t="n"/>
      <c r="J552" s="31" t="n">
        <v>0</v>
      </c>
      <c r="K552" s="31" t="n">
        <v>0</v>
      </c>
      <c r="L552" s="31" t="n">
        <v>0</v>
      </c>
      <c r="M552" s="31" t="n">
        <v>14</v>
      </c>
      <c r="N552" s="21" t="inlineStr">
        <is>
          <t>Hospital</t>
        </is>
      </c>
      <c r="O552" s="21" t="inlineStr"/>
      <c r="P552" s="21" t="inlineStr"/>
      <c r="Q552" s="21" t="inlineStr"/>
      <c r="R552" s="40" t="n">
        <v>500</v>
      </c>
      <c r="S552" s="21" t="inlineStr">
        <is>
          <t>DL:12Cy 3 · IR3 85</t>
        </is>
      </c>
      <c r="T552" s="21" t="inlineStr">
        <is>
          <t>The original cyberweapon of mass destruction is back! This ultimate arm ripper consists of a high-speed chainsaw with replaceable ferro-ceramic teeth, all installed in a retractable sheath in the wrist. For added efficie</t>
        </is>
      </c>
    </row>
    <row r="553">
      <c r="A553" s="21" t="inlineStr">
        <is>
          <t>Cybermatrix Gang Jazzler</t>
        </is>
      </c>
      <c r="B553" s="21" t="inlineStr">
        <is>
          <t>Кибернетика</t>
        </is>
      </c>
      <c r="C553" s="21" t="inlineStr">
        <is>
          <t>Cyberlimbs</t>
        </is>
      </c>
      <c r="D553" s="21" t="inlineStr"/>
      <c r="E553" s="21" t="inlineStr"/>
      <c r="F553" s="31" t="n"/>
      <c r="G553" s="31" t="n"/>
      <c r="H553" s="31" t="n"/>
      <c r="I553" s="31" t="n"/>
      <c r="J553" s="31" t="n">
        <v>0</v>
      </c>
      <c r="K553" s="31" t="n">
        <v>0</v>
      </c>
      <c r="L553" s="31" t="n">
        <v>0</v>
      </c>
      <c r="M553" s="31" t="n">
        <v>7</v>
      </c>
      <c r="N553" s="21" t="inlineStr">
        <is>
          <t>Clinic</t>
        </is>
      </c>
      <c r="O553" s="21" t="inlineStr"/>
      <c r="P553" s="21" t="inlineStr"/>
      <c r="Q553" s="21" t="inlineStr"/>
      <c r="R553" s="40" t="n">
        <v>500</v>
      </c>
      <c r="S553" s="21" t="inlineStr">
        <is>
          <t>DL:12Cy 3 · IR3 85</t>
        </is>
      </c>
      <c r="T553" s="21" t="inlineStr">
        <is>
          <t>Does choking a target into unconsciousness take too long? Then you need the Gang Jazzler! Just press the Jazzler into your prey’s neck, and you’ll be able to deliver a shock right through their spinal nerves and into the</t>
        </is>
      </c>
    </row>
    <row r="554">
      <c r="A554" s="21" t="inlineStr">
        <is>
          <t>Psiberstuff Watch-Man</t>
        </is>
      </c>
      <c r="B554" s="21" t="inlineStr">
        <is>
          <t>Кибернетика</t>
        </is>
      </c>
      <c r="C554" s="21" t="inlineStr">
        <is>
          <t>Cyberlimbs</t>
        </is>
      </c>
      <c r="D554" s="21" t="inlineStr"/>
      <c r="E554" s="21" t="inlineStr"/>
      <c r="F554" s="31" t="n"/>
      <c r="G554" s="31" t="n"/>
      <c r="H554" s="31" t="n"/>
      <c r="I554" s="31" t="n"/>
      <c r="J554" s="31" t="n">
        <v>0</v>
      </c>
      <c r="K554" s="31" t="n">
        <v>0</v>
      </c>
      <c r="L554" s="31" t="n">
        <v>0</v>
      </c>
      <c r="M554" s="31" t="n">
        <v>3</v>
      </c>
      <c r="N554" s="21" t="inlineStr">
        <is>
          <t>Mall</t>
        </is>
      </c>
      <c r="O554" s="21" t="inlineStr"/>
      <c r="P554" s="21" t="inlineStr"/>
      <c r="Q554" s="21" t="inlineStr"/>
      <c r="R554" s="40" t="n">
        <v>100</v>
      </c>
      <c r="S554" s="21" t="inlineStr">
        <is>
          <t>DL:12Cy 4 · DGD 146 · IR3 86</t>
        </is>
      </c>
      <c r="T554" s="21" t="inlineStr">
        <is>
          <t>As time marches on, so does the iconic Watch-Man from Psiberstuff! No longer a basic “television in an arm”, now the iconic pop-up cybernetic electronic serves as an Agent, complete with pseudo-AI to keep you company! Cy</t>
        </is>
      </c>
    </row>
    <row r="555">
      <c r="A555" s="21" t="inlineStr">
        <is>
          <t>Blitzkrieg Arc-Thrower</t>
        </is>
      </c>
      <c r="B555" s="21" t="inlineStr">
        <is>
          <t>Кибернетика</t>
        </is>
      </c>
      <c r="C555" s="21" t="inlineStr">
        <is>
          <t>Cyberlimbs</t>
        </is>
      </c>
      <c r="D555" s="21" t="inlineStr"/>
      <c r="E555" s="21" t="inlineStr"/>
      <c r="F555" s="31" t="n"/>
      <c r="G555" s="31" t="n"/>
      <c r="H555" s="31" t="n"/>
      <c r="I555" s="31" t="n"/>
      <c r="J555" s="31" t="n">
        <v>0</v>
      </c>
      <c r="K555" s="31" t="n">
        <v>0</v>
      </c>
      <c r="L555" s="31" t="n">
        <v>0</v>
      </c>
      <c r="M555" s="31" t="n">
        <v>14</v>
      </c>
      <c r="N555" s="21" t="inlineStr">
        <is>
          <t>Hospital</t>
        </is>
      </c>
      <c r="O555" s="21" t="inlineStr"/>
      <c r="P555" s="21" t="inlineStr"/>
      <c r="Q555" s="21" t="inlineStr"/>
      <c r="R555" s="40" t="n">
        <v>1000</v>
      </c>
      <c r="S555" s="21" t="inlineStr">
        <is>
          <t>DL:12Cy 4 · IR3 86</t>
        </is>
      </c>
      <c r="T555" s="21" t="inlineStr">
        <is>
          <t>The Radline Blitzkrieg Arc-Thrower uses a low-energy laser to ionize an air-path and then releases a highvolt, medium-amp artificial lightning bolt to blast a wide swath of electric mayhem in front of it. Don’t let the l</t>
        </is>
      </c>
    </row>
    <row r="556">
      <c r="A556" s="21" t="inlineStr">
        <is>
          <t>Romanova Cyberlegs</t>
        </is>
      </c>
      <c r="B556" s="21" t="inlineStr">
        <is>
          <t>Кибернетика</t>
        </is>
      </c>
      <c r="C556" s="21" t="inlineStr">
        <is>
          <t>Cyberlimbs</t>
        </is>
      </c>
      <c r="D556" s="21" t="inlineStr"/>
      <c r="E556" s="21" t="inlineStr"/>
      <c r="F556" s="31" t="n"/>
      <c r="G556" s="31" t="n"/>
      <c r="H556" s="31" t="n"/>
      <c r="I556" s="31" t="n"/>
      <c r="J556" s="31" t="n">
        <v>0</v>
      </c>
      <c r="K556" s="31" t="n">
        <v>0</v>
      </c>
      <c r="L556" s="31" t="n">
        <v>0</v>
      </c>
      <c r="M556" s="31" t="n">
        <v>14</v>
      </c>
      <c r="N556" s="21" t="inlineStr">
        <is>
          <t>Hospital</t>
        </is>
      </c>
      <c r="O556" s="21" t="inlineStr"/>
      <c r="P556" s="21" t="inlineStr"/>
      <c r="Q556" s="21" t="inlineStr"/>
      <c r="R556" s="40" t="n">
        <v>1000</v>
      </c>
      <c r="S556" s="21" t="inlineStr">
        <is>
          <t>DL:12Cy 5 · IR3 87</t>
        </is>
      </c>
      <c r="T556" s="21" t="inlineStr">
        <is>
          <t>In 2020, fashion superstar Gaboriau predicted the Romanova Cyberlegs would “dominate the Riviera”. Gaboriau was wrong. Fashionable cyborgs across the world rejected the Romanova for being “just another pretty pair of leg</t>
        </is>
      </c>
    </row>
    <row r="557">
      <c r="A557" s="21" t="inlineStr">
        <is>
          <t>Cyberscanner, Integrated</t>
        </is>
      </c>
      <c r="B557" s="21" t="inlineStr">
        <is>
          <t>Кибернетика</t>
        </is>
      </c>
      <c r="C557" s="21" t="inlineStr">
        <is>
          <t>Cyberlimbs</t>
        </is>
      </c>
      <c r="D557" s="21" t="inlineStr"/>
      <c r="E557" s="21" t="inlineStr"/>
      <c r="F557" s="31" t="n"/>
      <c r="G557" s="31" t="n"/>
      <c r="H557" s="31" t="n"/>
      <c r="I557" s="31" t="n"/>
      <c r="J557" s="31" t="n">
        <v>0</v>
      </c>
      <c r="K557" s="31" t="n">
        <v>0</v>
      </c>
      <c r="L557" s="31" t="n">
        <v>0</v>
      </c>
      <c r="M557" s="31" t="n">
        <v>7</v>
      </c>
      <c r="N557" s="21" t="inlineStr">
        <is>
          <t>Clinic</t>
        </is>
      </c>
      <c r="O557" s="21" t="inlineStr"/>
      <c r="P557" s="21" t="inlineStr"/>
      <c r="Q557" s="21" t="inlineStr"/>
      <c r="R557" s="40" t="n">
        <v>500</v>
      </c>
      <c r="S557" s="21" t="inlineStr">
        <is>
          <t>DL:12Gear 3 · IR4 66</t>
        </is>
      </c>
      <c r="T557" s="21" t="inlineStr">
        <is>
          <t>Cyberarm Option. Requires 2 Option Slots. An Integrated Cyberscanner installed in a Cyberarm. The readout is displayed on an LED panel built into the arm but can also be directed to the user’s Chyron display or linked Ag</t>
        </is>
      </c>
    </row>
    <row r="558">
      <c r="A558" s="21" t="inlineStr">
        <is>
          <t>Rocklin Aug Quick Digits</t>
        </is>
      </c>
      <c r="B558" s="21" t="inlineStr">
        <is>
          <t>Кибернетика</t>
        </is>
      </c>
      <c r="C558" s="21" t="inlineStr">
        <is>
          <t>Cyberlimbs</t>
        </is>
      </c>
      <c r="D558" s="21" t="inlineStr"/>
      <c r="E558" s="21" t="inlineStr"/>
      <c r="F558" s="31" t="n"/>
      <c r="G558" s="31" t="n"/>
      <c r="H558" s="31" t="n"/>
      <c r="I558" s="31" t="n"/>
      <c r="J558" s="31" t="n">
        <v>0</v>
      </c>
      <c r="K558" s="31" t="n">
        <v>0</v>
      </c>
      <c r="L558" s="31" t="n">
        <v>0</v>
      </c>
      <c r="M558" s="31" t="n">
        <v>3</v>
      </c>
      <c r="N558" s="21" t="inlineStr">
        <is>
          <t>Clinic</t>
        </is>
      </c>
      <c r="O558" s="21" t="inlineStr"/>
      <c r="P558" s="21" t="inlineStr"/>
      <c r="Q558" s="21" t="inlineStr"/>
      <c r="R558" s="40" t="n">
        <v>250</v>
      </c>
      <c r="S558" s="21" t="inlineStr">
        <is>
          <t>DL:12RED 4 · IR5 100</t>
        </is>
      </c>
      <c r="T558" s="21" t="inlineStr">
        <is>
          <t>Are your fingers too slow? Or is it perhaps that your mind is just too fast for meat? This Christmas, give your loved one the gift of chores on fast-forward. This year, put Rocklin underneath the Christmas tree!</t>
        </is>
      </c>
    </row>
    <row r="559">
      <c r="A559" s="21" t="inlineStr">
        <is>
          <t>Rocklin Augmentics Skydrivers</t>
        </is>
      </c>
      <c r="B559" s="21" t="inlineStr">
        <is>
          <t>Кибернетика</t>
        </is>
      </c>
      <c r="C559" s="21" t="inlineStr">
        <is>
          <t>Cyberlimbs</t>
        </is>
      </c>
      <c r="D559" s="21" t="inlineStr"/>
      <c r="E559" s="21" t="inlineStr"/>
      <c r="F559" s="31" t="n"/>
      <c r="G559" s="31" t="n"/>
      <c r="H559" s="31" t="n"/>
      <c r="I559" s="31" t="n"/>
      <c r="J559" s="31" t="n">
        <v>0</v>
      </c>
      <c r="K559" s="31" t="n">
        <v>0</v>
      </c>
      <c r="L559" s="31" t="n">
        <v>0</v>
      </c>
      <c r="M559" s="31" t="n">
        <v>14</v>
      </c>
      <c r="N559" s="21" t="inlineStr">
        <is>
          <t>Hospital</t>
        </is>
      </c>
      <c r="O559" s="21" t="inlineStr"/>
      <c r="P559" s="21" t="inlineStr"/>
      <c r="Q559" s="21" t="inlineStr"/>
      <c r="R559" s="40" t="n">
        <v>1000</v>
      </c>
      <c r="S559" s="21" t="inlineStr">
        <is>
          <t>DL:12RED 4 · IR5 100</t>
        </is>
      </c>
      <c r="T559" s="21" t="inlineStr">
        <is>
          <t>Nothing stops traffic like a great set of legs. Designed by award-winning guerrilla artist Aventó Ar//gentium, Skydrivers lift you high, smash through your obstacles, and make you look like you belong in the world’s grea</t>
        </is>
      </c>
    </row>
    <row r="560">
      <c r="A560" s="21" t="inlineStr">
        <is>
          <t>Pursuit Security Gas Jet</t>
        </is>
      </c>
      <c r="B560" s="21" t="inlineStr">
        <is>
          <t>Кибернетика</t>
        </is>
      </c>
      <c r="C560" s="21" t="inlineStr">
        <is>
          <t>Cyberlimbs</t>
        </is>
      </c>
      <c r="D560" s="21" t="inlineStr"/>
      <c r="E560" s="21" t="inlineStr"/>
      <c r="F560" s="31" t="n"/>
      <c r="G560" s="31" t="n"/>
      <c r="H560" s="31" t="n"/>
      <c r="I560" s="31" t="n"/>
      <c r="J560" s="31" t="n">
        <v>0</v>
      </c>
      <c r="K560" s="31" t="n">
        <v>0</v>
      </c>
      <c r="L560" s="31" t="n">
        <v>0</v>
      </c>
      <c r="M560" s="31" t="n">
        <v>7</v>
      </c>
      <c r="N560" s="21" t="inlineStr">
        <is>
          <t>Clinic</t>
        </is>
      </c>
      <c r="O560" s="21" t="inlineStr"/>
      <c r="P560" s="21" t="inlineStr"/>
      <c r="Q560" s="21" t="inlineStr"/>
      <c r="R560" s="40" t="n">
        <v>500</v>
      </c>
      <c r="S560" s="21" t="inlineStr">
        <is>
          <t>DL:HP 5 · IR4 7</t>
        </is>
      </c>
      <c r="T560" s="21" t="inlineStr">
        <is>
          <t>“Packed one of these during the war, just in case things got heated. Hell, I did half of my field testing with it. Load an experimental toxin, blast a crowd of rent-acops, and just watch. Perfect sample size!” Cyberarm O</t>
        </is>
      </c>
    </row>
    <row r="561">
      <c r="A561" s="21" t="inlineStr">
        <is>
          <t>Cyberpillow</t>
        </is>
      </c>
      <c r="B561" s="21" t="inlineStr">
        <is>
          <t>Кибернетика</t>
        </is>
      </c>
      <c r="C561" s="21" t="inlineStr">
        <is>
          <t>Cyberlimbs</t>
        </is>
      </c>
      <c r="D561" s="21" t="inlineStr"/>
      <c r="E561" s="21" t="inlineStr"/>
      <c r="F561" s="31" t="n"/>
      <c r="G561" s="31" t="n"/>
      <c r="H561" s="31" t="n"/>
      <c r="I561" s="31" t="n"/>
      <c r="J561" s="31" t="n">
        <v>0</v>
      </c>
      <c r="K561" s="31" t="n">
        <v>0</v>
      </c>
      <c r="L561" s="31" t="n">
        <v>0</v>
      </c>
      <c r="M561" s="31" t="n">
        <v>0</v>
      </c>
      <c r="N561" s="21" t="inlineStr">
        <is>
          <t>Clinic</t>
        </is>
      </c>
      <c r="O561" s="21" t="inlineStr"/>
      <c r="P561" s="21" t="inlineStr"/>
      <c r="Q561" s="21" t="inlineStr"/>
      <c r="R561" s="40" t="n">
        <v>100</v>
      </c>
      <c r="S561" s="21" t="inlineStr">
        <is>
          <t>DL:MHC 2 · IR3 46</t>
        </is>
      </c>
      <c r="T561" s="21" t="inlineStr">
        <is>
          <t xml:space="preserve">That gun on your hip won’t save you in the time you need it to if you got no sleep last night. Nap or die. Which is it gonna be, choom? These pop right out of your cyberarm, so you’re always ready. With the high quality </t>
        </is>
      </c>
    </row>
    <row r="562">
      <c r="A562" s="21" t="inlineStr">
        <is>
          <t>Holo Projector Palm</t>
        </is>
      </c>
      <c r="B562" s="21" t="inlineStr">
        <is>
          <t>Кибернетика</t>
        </is>
      </c>
      <c r="C562" s="21" t="inlineStr">
        <is>
          <t>Cyberlimbs</t>
        </is>
      </c>
      <c r="D562" s="21" t="inlineStr"/>
      <c r="E562" s="21" t="inlineStr"/>
      <c r="F562" s="31" t="n"/>
      <c r="G562" s="31" t="n"/>
      <c r="H562" s="31" t="n"/>
      <c r="I562" s="31" t="n"/>
      <c r="J562" s="31" t="n">
        <v>0</v>
      </c>
      <c r="K562" s="31" t="n">
        <v>0</v>
      </c>
      <c r="L562" s="31" t="n">
        <v>0</v>
      </c>
      <c r="M562" s="31" t="n">
        <v>2</v>
      </c>
      <c r="N562" s="21" t="inlineStr">
        <is>
          <t>Clinic</t>
        </is>
      </c>
      <c r="O562" s="21" t="inlineStr"/>
      <c r="P562" s="21" t="inlineStr"/>
      <c r="Q562" s="21" t="inlineStr"/>
      <c r="R562" s="40" t="n">
        <v>100</v>
      </c>
      <c r="S562" s="21" t="inlineStr">
        <is>
          <t>DL:MHC 3 · IR3 47</t>
        </is>
      </c>
      <c r="T562" s="21" t="inlineStr">
        <is>
          <t>Now, this one’s just neat. Makes a great pop-up advertisement, a neat trick for those first dates, and it’s waterproof and doesn’t get covered up by your wetsuit, making it great for checking the news while you’re surfin</t>
        </is>
      </c>
    </row>
    <row r="563">
      <c r="A563" s="21" t="inlineStr">
        <is>
          <t>PerfectFit Cyberfoot</t>
        </is>
      </c>
      <c r="B563" s="21" t="inlineStr">
        <is>
          <t>Кибернетика</t>
        </is>
      </c>
      <c r="C563" s="21" t="inlineStr">
        <is>
          <t>Cyberlimbs</t>
        </is>
      </c>
      <c r="D563" s="21" t="inlineStr"/>
      <c r="E563" s="21" t="inlineStr"/>
      <c r="F563" s="31" t="n"/>
      <c r="G563" s="31" t="n"/>
      <c r="H563" s="31" t="n"/>
      <c r="I563" s="31" t="n"/>
      <c r="J563" s="31" t="n">
        <v>0</v>
      </c>
      <c r="K563" s="31" t="n">
        <v>0</v>
      </c>
      <c r="L563" s="31" t="n">
        <v>0</v>
      </c>
      <c r="M563" s="31" t="n">
        <v>2</v>
      </c>
      <c r="N563" s="21" t="inlineStr">
        <is>
          <t>Clinic</t>
        </is>
      </c>
      <c r="O563" s="21" t="inlineStr"/>
      <c r="P563" s="21" t="inlineStr"/>
      <c r="Q563" s="21" t="inlineStr"/>
      <c r="R563" s="40" t="n">
        <v>100</v>
      </c>
      <c r="S563" s="21" t="inlineStr">
        <is>
          <t>DL:MHC 4 · DGD 146 · IR3 48</t>
        </is>
      </c>
      <c r="T563" s="21" t="inlineStr">
        <is>
          <t>Do you love buying shoes but hate the pain that they cause you? Being the beautiful person you are doesn’t have to hurt your damn feet so much anymore – replace those aching soles with your own state of the art hydraulic</t>
        </is>
      </c>
    </row>
    <row r="564">
      <c r="A564" s="21" t="inlineStr">
        <is>
          <t>Sponsored Covering</t>
        </is>
      </c>
      <c r="B564" s="21" t="inlineStr">
        <is>
          <t>Кибернетика</t>
        </is>
      </c>
      <c r="C564" s="21" t="inlineStr">
        <is>
          <t>Cyberlimbs</t>
        </is>
      </c>
      <c r="D564" s="21" t="inlineStr"/>
      <c r="E564" s="21" t="inlineStr"/>
      <c r="F564" s="31" t="n"/>
      <c r="G564" s="31" t="n"/>
      <c r="H564" s="31" t="n"/>
      <c r="I564" s="31" t="n"/>
      <c r="J564" s="31" t="n">
        <v>0</v>
      </c>
      <c r="K564" s="31" t="n">
        <v>0</v>
      </c>
      <c r="L564" s="31" t="n">
        <v>0</v>
      </c>
      <c r="M564" s="31" t="n">
        <v>0</v>
      </c>
      <c r="N564" s="21" t="inlineStr">
        <is>
          <t>Mall</t>
        </is>
      </c>
      <c r="O564" s="21" t="inlineStr"/>
      <c r="P564" s="21" t="inlineStr"/>
      <c r="Q564" s="21" t="inlineStr"/>
      <c r="R564" s="40" t="n">
        <v>50</v>
      </c>
      <c r="S564" s="21" t="inlineStr">
        <is>
          <t>DL:MHC 4 · IR3 48</t>
        </is>
      </c>
      <c r="T564" s="21" t="inlineStr">
        <is>
          <t>You want to make some money? Passive income, very limited strings attached? You’ve got a personal brand, and it’s time to leverage it – make your image work for you. I’m sure we can get the incentives aligned to somethin</t>
        </is>
      </c>
    </row>
    <row r="565">
      <c r="A565" s="21" t="inlineStr">
        <is>
          <t>PersonalPak KibbleWarmer</t>
        </is>
      </c>
      <c r="B565" s="21" t="inlineStr">
        <is>
          <t>Кибернетика</t>
        </is>
      </c>
      <c r="C565" s="21" t="inlineStr">
        <is>
          <t>Cyberlimbs</t>
        </is>
      </c>
      <c r="D565" s="21" t="inlineStr"/>
      <c r="E565" s="21" t="inlineStr"/>
      <c r="F565" s="31" t="n"/>
      <c r="G565" s="31" t="n"/>
      <c r="H565" s="31" t="n"/>
      <c r="I565" s="31" t="n"/>
      <c r="J565" s="31" t="n">
        <v>0</v>
      </c>
      <c r="K565" s="31" t="n">
        <v>0</v>
      </c>
      <c r="L565" s="31" t="n">
        <v>0</v>
      </c>
      <c r="M565" s="31" t="n">
        <v>3</v>
      </c>
      <c r="N565" s="21" t="inlineStr">
        <is>
          <t>Clinic</t>
        </is>
      </c>
      <c r="O565" s="21" t="inlineStr"/>
      <c r="P565" s="21" t="inlineStr"/>
      <c r="Q565" s="21" t="inlineStr"/>
      <c r="R565" s="40" t="n">
        <v>100</v>
      </c>
      <c r="S565" s="21" t="inlineStr">
        <is>
          <t>DL:MHC 4 · IR3 48</t>
        </is>
      </c>
      <c r="T565" s="21" t="inlineStr">
        <is>
          <t>Look, I love those Oasis Kibble Cylinders. Hell, I chow down on one whenever my Agent tells me I’mworking too much again, just to take a break! And they are much better warm. I like mine a little burnt to be honest, just</t>
        </is>
      </c>
    </row>
    <row r="566">
      <c r="A566" s="21" t="inlineStr">
        <is>
          <t>Pursuit Security Personal Shredder</t>
        </is>
      </c>
      <c r="B566" s="21" t="inlineStr">
        <is>
          <t>Кибернетика</t>
        </is>
      </c>
      <c r="C566" s="21" t="inlineStr">
        <is>
          <t>Cyberlimbs</t>
        </is>
      </c>
      <c r="D566" s="21" t="inlineStr"/>
      <c r="E566" s="21" t="inlineStr"/>
      <c r="F566" s="31" t="n"/>
      <c r="G566" s="31" t="n"/>
      <c r="H566" s="31" t="n"/>
      <c r="I566" s="31" t="n"/>
      <c r="J566" s="31" t="n">
        <v>0</v>
      </c>
      <c r="K566" s="31" t="n">
        <v>0</v>
      </c>
      <c r="L566" s="31" t="n">
        <v>0</v>
      </c>
      <c r="M566" s="31" t="n">
        <v>3</v>
      </c>
      <c r="N566" s="21" t="inlineStr">
        <is>
          <t>Clinic</t>
        </is>
      </c>
      <c r="O566" s="21" t="inlineStr"/>
      <c r="P566" s="21" t="inlineStr"/>
      <c r="Q566" s="21" t="inlineStr"/>
      <c r="R566" s="40" t="n">
        <v>100</v>
      </c>
      <c r="S566" s="21" t="inlineStr">
        <is>
          <t>DL:MHC 4 · IR3 48</t>
        </is>
      </c>
      <c r="T566" s="21" t="inlineStr">
        <is>
          <t>Secrecy is paramount, so why are you assuming your company shredder isn’t spying on you too? You know you’re just as likely to get hit by a jealous internal rival as you are to get taken out by a rival company. My advice</t>
        </is>
      </c>
    </row>
    <row r="567">
      <c r="A567" s="21" t="inlineStr">
        <is>
          <t>Prehensile Cyberfoot</t>
        </is>
      </c>
      <c r="B567" s="21" t="inlineStr">
        <is>
          <t>Кибернетика</t>
        </is>
      </c>
      <c r="C567" s="21" t="inlineStr">
        <is>
          <t>Cyberlimbs</t>
        </is>
      </c>
      <c r="D567" s="21" t="inlineStr"/>
      <c r="E567" s="21" t="inlineStr"/>
      <c r="F567" s="31" t="n"/>
      <c r="G567" s="31" t="n"/>
      <c r="H567" s="31" t="n"/>
      <c r="I567" s="31" t="n"/>
      <c r="J567" s="31" t="n">
        <v>0</v>
      </c>
      <c r="K567" s="31" t="n">
        <v>0</v>
      </c>
      <c r="L567" s="31" t="n">
        <v>0</v>
      </c>
      <c r="M567" s="31" t="n">
        <v>3</v>
      </c>
      <c r="N567" s="21" t="inlineStr">
        <is>
          <t>Clinic</t>
        </is>
      </c>
      <c r="O567" s="21" t="inlineStr"/>
      <c r="P567" s="21" t="inlineStr"/>
      <c r="Q567" s="21" t="inlineStr"/>
      <c r="R567" s="40" t="n">
        <v>1000</v>
      </c>
      <c r="S567" s="21" t="inlineStr">
        <is>
          <t>IR3 108</t>
        </is>
      </c>
      <c r="T567" s="21" t="inlineStr">
        <is>
          <t>Never bend down to pick something up ever again. Cyberleg Option. As an Action, a user can transform their Cyberleg so that it operates as a Cyberarm, converting their Cyberfoot into a Cyberhand. An Action reverses the t</t>
        </is>
      </c>
    </row>
    <row r="568">
      <c r="A568" s="21" t="inlineStr">
        <is>
          <t>Zero Gravity Thrusters</t>
        </is>
      </c>
      <c r="B568" s="21" t="inlineStr">
        <is>
          <t>Кибернетика</t>
        </is>
      </c>
      <c r="C568" s="21" t="inlineStr">
        <is>
          <t>Cyberlimbs</t>
        </is>
      </c>
      <c r="D568" s="21" t="inlineStr"/>
      <c r="E568" s="21" t="inlineStr"/>
      <c r="F568" s="31" t="n"/>
      <c r="G568" s="31" t="n"/>
      <c r="H568" s="31" t="n"/>
      <c r="I568" s="31" t="n"/>
      <c r="J568" s="31" t="n">
        <v>0</v>
      </c>
      <c r="K568" s="31" t="n">
        <v>0</v>
      </c>
      <c r="L568" s="31" t="n">
        <v>0</v>
      </c>
      <c r="M568" s="31" t="n">
        <v>3</v>
      </c>
      <c r="N568" s="21" t="inlineStr">
        <is>
          <t>Clinic</t>
        </is>
      </c>
      <c r="O568" s="21" t="inlineStr"/>
      <c r="P568" s="21" t="inlineStr"/>
      <c r="Q568" s="21" t="inlineStr"/>
      <c r="R568" s="40" t="n">
        <v>1000</v>
      </c>
      <c r="S568" s="21" t="inlineStr">
        <is>
          <t>IR3 108</t>
        </is>
      </c>
      <c r="T568" s="21" t="inlineStr">
        <is>
          <t>A series of precise thrusters allow the user fine control of their movement while in zero gravity. Cyberleg Option. When in use, the user negates all movement penalties associated with being in zero gravity. The Zero Gra</t>
        </is>
      </c>
    </row>
    <row r="569">
      <c r="A569" s="21" t="inlineStr">
        <is>
          <t>Projectile Launch System</t>
        </is>
      </c>
      <c r="B569" s="21" t="inlineStr">
        <is>
          <t>Кибернетика</t>
        </is>
      </c>
      <c r="C569" s="21" t="inlineStr">
        <is>
          <t>Cyberlimbs · Borgware</t>
        </is>
      </c>
      <c r="D569" s="21" t="inlineStr"/>
      <c r="E569" s="21" t="inlineStr"/>
      <c r="F569" s="31" t="n"/>
      <c r="G569" s="31" t="n"/>
      <c r="H569" s="31" t="n"/>
      <c r="I569" s="31" t="n"/>
      <c r="J569" s="31" t="n">
        <v>0</v>
      </c>
      <c r="K569" s="31" t="n">
        <v>0</v>
      </c>
      <c r="L569" s="31" t="n">
        <v>0</v>
      </c>
      <c r="M569" s="31" t="n">
        <v>14</v>
      </c>
      <c r="N569" s="21" t="inlineStr">
        <is>
          <t>Clinic</t>
        </is>
      </c>
      <c r="O569" s="21" t="inlineStr"/>
      <c r="P569" s="21" t="inlineStr"/>
      <c r="Q569" s="21" t="inlineStr"/>
      <c r="R569" s="40" t="n">
        <v>1000</v>
      </c>
      <c r="S569" s="21" t="inlineStr">
        <is>
          <t>CEMK 36</t>
        </is>
      </c>
      <c r="T569" s="21" t="inlineStr">
        <is>
          <t>A versatile explosive launcher in the palm of your hand (more or less literally). Cyberarm Option. Borgware. Requires 2 Cyberarm Option Slots. A One-Handed Rocket Launcher/Grenade Launcher with a single rocket/grenade in</t>
        </is>
      </c>
    </row>
    <row r="570">
      <c r="A570" s="21" t="inlineStr">
        <is>
          <t>Subdermal Grip</t>
        </is>
      </c>
      <c r="B570" s="21" t="inlineStr">
        <is>
          <t>Кибернетика</t>
        </is>
      </c>
      <c r="C570" s="21" t="inlineStr">
        <is>
          <t>Cyberlimbs · Neuralware</t>
        </is>
      </c>
      <c r="D570" s="21" t="inlineStr"/>
      <c r="E570" s="21" t="inlineStr"/>
      <c r="F570" s="31" t="n"/>
      <c r="G570" s="31" t="n"/>
      <c r="H570" s="31" t="n"/>
      <c r="I570" s="31" t="n"/>
      <c r="J570" s="31" t="n">
        <v>0</v>
      </c>
      <c r="K570" s="31" t="n">
        <v>0</v>
      </c>
      <c r="L570" s="31" t="n">
        <v>0</v>
      </c>
      <c r="M570" s="31" t="n">
        <v>3</v>
      </c>
      <c r="N570" s="21" t="inlineStr">
        <is>
          <t>Clinic</t>
        </is>
      </c>
      <c r="O570" s="21" t="inlineStr"/>
      <c r="P570" s="21" t="inlineStr"/>
      <c r="Q570" s="21" t="inlineStr"/>
      <c r="R570" s="40" t="n">
        <v>100</v>
      </c>
      <c r="S570" s="21" t="inlineStr">
        <is>
          <t>CP:R 366</t>
        </is>
      </c>
      <c r="T570" s="21" t="inlineStr">
        <is>
          <t>Cyberarm Option. Neuralware Option. Subdermal plate under the palm allows user to make use of Smartguns. A cost-effective alternative to Interface Plugs. Can be installed as the only piece of Cyberware in a meat arm. Req</t>
        </is>
      </c>
    </row>
    <row r="571">
      <c r="A571" s="21" t="inlineStr">
        <is>
          <t>RC MicroWaldo</t>
        </is>
      </c>
      <c r="B571" s="21" t="inlineStr">
        <is>
          <t>Кибернетика</t>
        </is>
      </c>
      <c r="C571" s="21" t="inlineStr">
        <is>
          <t>Cyberlimbs · Neuralware</t>
        </is>
      </c>
      <c r="D571" s="21" t="inlineStr"/>
      <c r="E571" s="21" t="inlineStr"/>
      <c r="F571" s="31" t="n"/>
      <c r="G571" s="31" t="n"/>
      <c r="H571" s="31" t="n"/>
      <c r="I571" s="31" t="n"/>
      <c r="J571" s="31" t="n">
        <v>0</v>
      </c>
      <c r="K571" s="31" t="n">
        <v>0</v>
      </c>
      <c r="L571" s="31" t="n">
        <v>0</v>
      </c>
      <c r="M571" s="31" t="n">
        <v>7</v>
      </c>
      <c r="N571" s="21" t="inlineStr">
        <is>
          <t>Clinic</t>
        </is>
      </c>
      <c r="O571" s="21" t="inlineStr"/>
      <c r="P571" s="21" t="inlineStr"/>
      <c r="Q571" s="21" t="inlineStr"/>
      <c r="R571" s="40" t="n">
        <v>1000</v>
      </c>
      <c r="S571" s="21" t="inlineStr">
        <is>
          <t>DL:12Cy 5 · DGD 146 · IR3 87</t>
        </is>
      </c>
      <c r="T571" s="21" t="inlineStr">
        <is>
          <t>Trusted by medical professionals across the world, the Raven Microcybernetics MicroWaldo plugs eight articulated probes into your wrist and your brain to provide the direct and precise assistance you need, whether you’re</t>
        </is>
      </c>
    </row>
    <row r="572">
      <c r="A572" s="21" t="inlineStr">
        <is>
          <t>Hardened Cybereye Casing</t>
        </is>
      </c>
      <c r="B572" s="21" t="inlineStr">
        <is>
          <t>Кибернетика</t>
        </is>
      </c>
      <c r="C572" s="21" t="inlineStr">
        <is>
          <t>Cyberoptics</t>
        </is>
      </c>
      <c r="D572" s="21" t="inlineStr"/>
      <c r="E572" s="21" t="inlineStr"/>
      <c r="F572" s="31" t="n"/>
      <c r="G572" s="31" t="n"/>
      <c r="H572" s="31" t="n"/>
      <c r="I572" s="31" t="n"/>
      <c r="J572" s="31" t="n">
        <v>0</v>
      </c>
      <c r="K572" s="31" t="n">
        <v>0</v>
      </c>
      <c r="L572" s="31" t="n">
        <v>0</v>
      </c>
      <c r="M572" s="31" t="n">
        <v>3</v>
      </c>
      <c r="N572" s="21" t="inlineStr">
        <is>
          <t>Clinic</t>
        </is>
      </c>
      <c r="O572" s="21" t="inlineStr"/>
      <c r="P572" s="21" t="inlineStr"/>
      <c r="Q572" s="21" t="inlineStr"/>
      <c r="R572" s="40" t="n">
        <v>500</v>
      </c>
      <c r="S572" s="21" t="inlineStr">
        <is>
          <t>BC 19 · DL:YNBF 12 · IR5 82</t>
        </is>
      </c>
      <c r="T572" s="21" t="inlineStr">
        <is>
          <t xml:space="preserve">You didn’t dig out your eyeballs and install cyberoptics just to watch the world go dark because someone blasted off an EMP or hit you with a stray Microwaver pulse. Get this and never worry about being left in the dark </t>
        </is>
      </c>
    </row>
    <row r="573">
      <c r="A573" s="21" t="inlineStr">
        <is>
          <t>Sponsored Cybereye</t>
        </is>
      </c>
      <c r="B573" s="21" t="inlineStr">
        <is>
          <t>Кибернетика</t>
        </is>
      </c>
      <c r="C573" s="21" t="inlineStr">
        <is>
          <t>Cyberoptics</t>
        </is>
      </c>
      <c r="D573" s="21" t="inlineStr"/>
      <c r="E573" s="21" t="inlineStr"/>
      <c r="F573" s="31" t="n"/>
      <c r="G573" s="31" t="n"/>
      <c r="H573" s="31" t="n"/>
      <c r="I573" s="31" t="n"/>
      <c r="J573" s="31" t="n">
        <v>0</v>
      </c>
      <c r="K573" s="31" t="n">
        <v>0</v>
      </c>
      <c r="L573" s="31" t="n">
        <v>0</v>
      </c>
      <c r="M573" s="31" t="n">
        <v>7</v>
      </c>
      <c r="N573" s="21" t="inlineStr">
        <is>
          <t>Clinic</t>
        </is>
      </c>
      <c r="O573" s="21" t="inlineStr"/>
      <c r="P573" s="21" t="inlineStr"/>
      <c r="Q573" s="21" t="inlineStr"/>
      <c r="R573" s="40" t="n">
        <v>50</v>
      </c>
      <c r="S573" s="21" t="inlineStr">
        <is>
          <t>BC 22</t>
        </is>
      </c>
      <c r="T573" s="21" t="inlineStr">
        <is>
          <t>Want to stream your favorite Garden Patch straight to your eyeballs but can’t afford a new Cybereye? The Sponsored Cybereye is just about the cheapest piece of chrome on the market! You’re constantly being bombarded by a</t>
        </is>
      </c>
    </row>
    <row r="574">
      <c r="A574" s="21" t="inlineStr">
        <is>
          <t>Cybereye</t>
        </is>
      </c>
      <c r="B574" s="21" t="inlineStr">
        <is>
          <t>Кибернетика</t>
        </is>
      </c>
      <c r="C574" s="21" t="inlineStr">
        <is>
          <t>Cyberoptics</t>
        </is>
      </c>
      <c r="D574" s="21" t="inlineStr"/>
      <c r="E574" s="21" t="inlineStr"/>
      <c r="F574" s="31" t="n"/>
      <c r="G574" s="31" t="n"/>
      <c r="H574" s="31" t="n"/>
      <c r="I574" s="31" t="n"/>
      <c r="J574" s="31" t="n">
        <v>0</v>
      </c>
      <c r="K574" s="31" t="n">
        <v>0</v>
      </c>
      <c r="L574" s="31" t="n">
        <v>0</v>
      </c>
      <c r="M574" s="31" t="n">
        <v>7</v>
      </c>
      <c r="N574" s="21" t="inlineStr">
        <is>
          <t>Clinic</t>
        </is>
      </c>
      <c r="O574" s="21" t="inlineStr"/>
      <c r="P574" s="21" t="inlineStr"/>
      <c r="Q574" s="21" t="inlineStr"/>
      <c r="R574" s="40" t="n">
        <v>100</v>
      </c>
      <c r="S574" s="21" t="inlineStr">
        <is>
          <t>CP:R 360</t>
        </is>
      </c>
      <c r="T574" s="21" t="inlineStr">
        <is>
          <t>All following options are installed in an artificial eye that replaces a meat one. Each Cybereye has 3 Option Slots for Cybereye Options. Some options must be paired to work properly (purchased twice and installed in two</t>
        </is>
      </c>
    </row>
    <row r="575">
      <c r="A575" s="21" t="inlineStr">
        <is>
          <t>Anti-Dazzle</t>
        </is>
      </c>
      <c r="B575" s="21" t="inlineStr">
        <is>
          <t>Кибернетика</t>
        </is>
      </c>
      <c r="C575" s="21" t="inlineStr">
        <is>
          <t>Cyberoptics</t>
        </is>
      </c>
      <c r="D575" s="21" t="inlineStr"/>
      <c r="E575" s="21" t="inlineStr"/>
      <c r="F575" s="31" t="n"/>
      <c r="G575" s="31" t="n"/>
      <c r="H575" s="31" t="n"/>
      <c r="I575" s="31" t="n"/>
      <c r="J575" s="31" t="n">
        <v>0</v>
      </c>
      <c r="K575" s="31" t="n">
        <v>0</v>
      </c>
      <c r="L575" s="31" t="n">
        <v>0</v>
      </c>
      <c r="M575" s="31" t="n">
        <v>2</v>
      </c>
      <c r="N575" s="21" t="inlineStr">
        <is>
          <t>Mall</t>
        </is>
      </c>
      <c r="O575" s="21" t="inlineStr"/>
      <c r="P575" s="21" t="inlineStr"/>
      <c r="Q575" s="21" t="inlineStr"/>
      <c r="R575" s="40" t="n">
        <v>100</v>
      </c>
      <c r="S575" s="21" t="inlineStr">
        <is>
          <t>CP:R 360</t>
        </is>
      </c>
      <c r="T575" s="21" t="inlineStr">
        <is>
          <t>Cybereye Option. User is immune to blindness or other effects caused by dangerous flashes of light, like those of a flashbang. Requires two Cybereyes and must be paired.</t>
        </is>
      </c>
    </row>
    <row r="576">
      <c r="A576" s="21" t="inlineStr">
        <is>
          <t>Chyron</t>
        </is>
      </c>
      <c r="B576" s="21" t="inlineStr">
        <is>
          <t>Кибернетика</t>
        </is>
      </c>
      <c r="C576" s="21" t="inlineStr">
        <is>
          <t>Cyberoptics</t>
        </is>
      </c>
      <c r="D576" s="21" t="inlineStr"/>
      <c r="E576" s="21" t="inlineStr"/>
      <c r="F576" s="31" t="n"/>
      <c r="G576" s="31" t="n"/>
      <c r="H576" s="31" t="n"/>
      <c r="I576" s="31" t="n"/>
      <c r="J576" s="31" t="n">
        <v>0</v>
      </c>
      <c r="K576" s="31" t="n">
        <v>0</v>
      </c>
      <c r="L576" s="31" t="n">
        <v>0</v>
      </c>
      <c r="M576" s="31" t="n">
        <v>2</v>
      </c>
      <c r="N576" s="21" t="inlineStr">
        <is>
          <t>Mall</t>
        </is>
      </c>
      <c r="O576" s="21" t="inlineStr"/>
      <c r="P576" s="21" t="inlineStr"/>
      <c r="Q576" s="21" t="inlineStr"/>
      <c r="R576" s="40" t="n">
        <v>100</v>
      </c>
      <c r="S576" s="21" t="inlineStr">
        <is>
          <t>CP:R 360</t>
        </is>
      </c>
      <c r="T576" s="21" t="inlineStr">
        <is>
          <t>Cybereye Option. Projects a tiny subscreen into user's normal field of vision for messages, video, etc. from a user's other cyberware or electronics. Picture in a picture for real life. Requires a Cybereye.</t>
        </is>
      </c>
    </row>
    <row r="577">
      <c r="A577" s="21" t="inlineStr">
        <is>
          <t>Color Shift</t>
        </is>
      </c>
      <c r="B577" s="21" t="inlineStr">
        <is>
          <t>Кибернетика</t>
        </is>
      </c>
      <c r="C577" s="21" t="inlineStr">
        <is>
          <t>Cyberoptics</t>
        </is>
      </c>
      <c r="D577" s="21" t="inlineStr"/>
      <c r="E577" s="21" t="inlineStr"/>
      <c r="F577" s="31" t="n"/>
      <c r="G577" s="31" t="n"/>
      <c r="H577" s="31" t="n"/>
      <c r="I577" s="31" t="n"/>
      <c r="J577" s="31" t="n">
        <v>0</v>
      </c>
      <c r="K577" s="31" t="n">
        <v>0</v>
      </c>
      <c r="L577" s="31" t="n">
        <v>0</v>
      </c>
      <c r="M577" s="31" t="n">
        <v>2</v>
      </c>
      <c r="N577" s="21" t="inlineStr">
        <is>
          <t>Mall</t>
        </is>
      </c>
      <c r="O577" s="21" t="inlineStr"/>
      <c r="P577" s="21" t="inlineStr"/>
      <c r="Q577" s="21" t="inlineStr"/>
      <c r="R577" s="40" t="n">
        <v>100</v>
      </c>
      <c r="S577" s="21" t="inlineStr">
        <is>
          <t>CP:R 360</t>
        </is>
      </c>
      <c r="T577" s="21" t="inlineStr">
        <is>
          <t>Cybereye Option. Cosmetic upgrade allows unlimited color and pattern changes to be made as an Action. Eye can optionally be temperature sensitive or reactant to hormone changes in the body. Requires a Cybereye.</t>
        </is>
      </c>
    </row>
    <row r="578">
      <c r="A578" s="21" t="inlineStr">
        <is>
          <t>Dartgun</t>
        </is>
      </c>
      <c r="B578" s="21" t="inlineStr">
        <is>
          <t>Кибернетика</t>
        </is>
      </c>
      <c r="C578" s="21" t="inlineStr">
        <is>
          <t>Cyberoptics</t>
        </is>
      </c>
      <c r="D578" s="21" t="inlineStr"/>
      <c r="E578" s="21" t="inlineStr"/>
      <c r="F578" s="31" t="n"/>
      <c r="G578" s="31" t="n"/>
      <c r="H578" s="31" t="n"/>
      <c r="I578" s="31" t="n"/>
      <c r="J578" s="31" t="n">
        <v>0</v>
      </c>
      <c r="K578" s="31" t="n">
        <v>0</v>
      </c>
      <c r="L578" s="31" t="n">
        <v>0</v>
      </c>
      <c r="M578" s="31" t="n">
        <v>2</v>
      </c>
      <c r="N578" s="21" t="inlineStr">
        <is>
          <t>Clinic</t>
        </is>
      </c>
      <c r="O578" s="21" t="inlineStr"/>
      <c r="P578" s="21" t="inlineStr"/>
      <c r="Q578" s="21" t="inlineStr"/>
      <c r="R578" s="40" t="n">
        <v>500</v>
      </c>
      <c r="S578" s="21" t="inlineStr">
        <is>
          <t>CP:R 360</t>
        </is>
      </c>
      <c r="T578" s="21" t="inlineStr">
        <is>
          <t>Cybereye Option. Dartgun Exotic Weapon, with only a single shot in the clip, concealed inside the Cybereye. Requires a Cybereye and takes 3 Option Slots.</t>
        </is>
      </c>
    </row>
    <row r="579">
      <c r="A579" s="21" t="inlineStr">
        <is>
          <t>Image Enhance</t>
        </is>
      </c>
      <c r="B579" s="21" t="inlineStr">
        <is>
          <t>Кибернетика</t>
        </is>
      </c>
      <c r="C579" s="21" t="inlineStr">
        <is>
          <t>Cyberoptics</t>
        </is>
      </c>
      <c r="D579" s="21" t="inlineStr"/>
      <c r="E579" s="21" t="inlineStr"/>
      <c r="F579" s="31" t="n"/>
      <c r="G579" s="31" t="n"/>
      <c r="H579" s="31" t="n"/>
      <c r="I579" s="31" t="n"/>
      <c r="J579" s="31" t="n">
        <v>0</v>
      </c>
      <c r="K579" s="31" t="n">
        <v>0</v>
      </c>
      <c r="L579" s="31" t="n">
        <v>0</v>
      </c>
      <c r="M579" s="31" t="n">
        <v>3</v>
      </c>
      <c r="N579" s="21" t="inlineStr">
        <is>
          <t>Mall</t>
        </is>
      </c>
      <c r="O579" s="21" t="inlineStr"/>
      <c r="P579" s="21" t="inlineStr"/>
      <c r="Q579" s="21" t="inlineStr"/>
      <c r="R579" s="40" t="n">
        <v>500</v>
      </c>
      <c r="S579" s="21" t="inlineStr">
        <is>
          <t>CP:R 360</t>
        </is>
      </c>
      <c r="T579" s="21" t="inlineStr">
        <is>
          <t>Cybereye Option. User adds +2 to their Perception, Lip Reading, and Conceal/Reveal Object Skills for Checks which include sight. Requires two Cybereyes and must be paired. Multiple installations of this option provide us</t>
        </is>
      </c>
    </row>
    <row r="580">
      <c r="A580" s="21" t="inlineStr">
        <is>
          <t>Low Light/Infrared/UV</t>
        </is>
      </c>
      <c r="B580" s="21" t="inlineStr">
        <is>
          <t>Кибернетика</t>
        </is>
      </c>
      <c r="C580" s="21" t="inlineStr">
        <is>
          <t>Cyberoptics</t>
        </is>
      </c>
      <c r="D580" s="21" t="inlineStr"/>
      <c r="E580" s="21" t="inlineStr"/>
      <c r="F580" s="31" t="n"/>
      <c r="G580" s="31" t="n"/>
      <c r="H580" s="31" t="n"/>
      <c r="I580" s="31" t="n"/>
      <c r="J580" s="31" t="n">
        <v>0</v>
      </c>
      <c r="K580" s="31" t="n">
        <v>0</v>
      </c>
      <c r="L580" s="31" t="n">
        <v>0</v>
      </c>
      <c r="M580" s="31" t="n">
        <v>3</v>
      </c>
      <c r="N580" s="21" t="inlineStr">
        <is>
          <t>Mall</t>
        </is>
      </c>
      <c r="O580" s="21" t="inlineStr"/>
      <c r="P580" s="21" t="inlineStr"/>
      <c r="Q580" s="21" t="inlineStr"/>
      <c r="R580" s="40" t="n">
        <v>500</v>
      </c>
      <c r="S580" s="21" t="inlineStr">
        <is>
          <t>CP:R 360</t>
        </is>
      </c>
      <c r="T580" s="21" t="inlineStr">
        <is>
          <t>Cybereye Option. Reduces penalties imposed by darkness and other intangible obscurement, like smoke, fog, etc. to 0. User can distinguish hot meat from cold metal but cannot see through anything that could provide cover.</t>
        </is>
      </c>
    </row>
    <row r="581">
      <c r="A581" s="21" t="inlineStr">
        <is>
          <t>MicroOptics</t>
        </is>
      </c>
      <c r="B581" s="21" t="inlineStr">
        <is>
          <t>Кибернетика</t>
        </is>
      </c>
      <c r="C581" s="21" t="inlineStr">
        <is>
          <t>Cyberoptics</t>
        </is>
      </c>
      <c r="D581" s="21" t="inlineStr"/>
      <c r="E581" s="21" t="inlineStr"/>
      <c r="F581" s="31" t="n"/>
      <c r="G581" s="31" t="n"/>
      <c r="H581" s="31" t="n"/>
      <c r="I581" s="31" t="n"/>
      <c r="J581" s="31" t="n">
        <v>0</v>
      </c>
      <c r="K581" s="31" t="n">
        <v>0</v>
      </c>
      <c r="L581" s="31" t="n">
        <v>0</v>
      </c>
      <c r="M581" s="31" t="n">
        <v>2</v>
      </c>
      <c r="N581" s="21" t="inlineStr">
        <is>
          <t>Clinic</t>
        </is>
      </c>
      <c r="O581" s="21" t="inlineStr"/>
      <c r="P581" s="21" t="inlineStr"/>
      <c r="Q581" s="21" t="inlineStr"/>
      <c r="R581" s="40" t="n">
        <v>100</v>
      </c>
      <c r="S581" s="21" t="inlineStr">
        <is>
          <t>CP:R 361</t>
        </is>
      </c>
      <c r="T581" s="21" t="inlineStr">
        <is>
          <t>Cybereye Option. Microscope providing user up to 400x magnification. Requires a Cybereye.</t>
        </is>
      </c>
    </row>
    <row r="582">
      <c r="A582" s="21" t="inlineStr">
        <is>
          <t>Virtuality</t>
        </is>
      </c>
      <c r="B582" s="21" t="inlineStr">
        <is>
          <t>Кибернетика</t>
        </is>
      </c>
      <c r="C582" s="21" t="inlineStr">
        <is>
          <t>Cyberoptics</t>
        </is>
      </c>
      <c r="D582" s="21" t="inlineStr"/>
      <c r="E582" s="21" t="inlineStr"/>
      <c r="F582" s="31" t="n"/>
      <c r="G582" s="31" t="n"/>
      <c r="H582" s="31" t="n"/>
      <c r="I582" s="31" t="n"/>
      <c r="J582" s="31" t="n">
        <v>0</v>
      </c>
      <c r="K582" s="31" t="n">
        <v>0</v>
      </c>
      <c r="L582" s="31" t="n">
        <v>0</v>
      </c>
      <c r="M582" s="31" t="n">
        <v>2</v>
      </c>
      <c r="N582" s="21" t="inlineStr">
        <is>
          <t>Mall</t>
        </is>
      </c>
      <c r="O582" s="21" t="inlineStr"/>
      <c r="P582" s="21" t="inlineStr"/>
      <c r="Q582" s="21" t="inlineStr"/>
      <c r="R582" s="40" t="n">
        <v>100</v>
      </c>
      <c r="S582" s="21" t="inlineStr">
        <is>
          <t>CP:R 361</t>
        </is>
      </c>
      <c r="T582" s="21" t="inlineStr">
        <is>
          <t>Cybereye Option. Projects cyberspace imagery over user's view of the world. Never forget your Virtuality Goggles again. Requires two Cybereyes and must be paired.</t>
        </is>
      </c>
    </row>
    <row r="583">
      <c r="A583" s="21" t="inlineStr">
        <is>
          <t>MicroVideo</t>
        </is>
      </c>
      <c r="B583" s="21" t="inlineStr">
        <is>
          <t>Кибернетика</t>
        </is>
      </c>
      <c r="C583" s="21" t="inlineStr">
        <is>
          <t>Cyberoptics</t>
        </is>
      </c>
      <c r="D583" s="21" t="inlineStr"/>
      <c r="E583" s="21" t="inlineStr"/>
      <c r="F583" s="31" t="n"/>
      <c r="G583" s="31" t="n"/>
      <c r="H583" s="31" t="n"/>
      <c r="I583" s="31" t="n"/>
      <c r="J583" s="31" t="n">
        <v>0</v>
      </c>
      <c r="K583" s="31" t="n">
        <v>0</v>
      </c>
      <c r="L583" s="31" t="n">
        <v>0</v>
      </c>
      <c r="M583" s="31" t="n">
        <v>2</v>
      </c>
      <c r="N583" s="21" t="inlineStr">
        <is>
          <t>Clinic</t>
        </is>
      </c>
      <c r="O583" s="21" t="inlineStr"/>
      <c r="P583" s="21" t="inlineStr"/>
      <c r="Q583" s="21" t="inlineStr"/>
      <c r="R583" s="40" t="n">
        <v>500</v>
      </c>
      <c r="S583" s="21" t="inlineStr">
        <is>
          <t>CP:R 361</t>
        </is>
      </c>
      <c r="T583" s="21" t="inlineStr">
        <is>
          <t>Cybereye Option. Camera in eye records video and audio to a standard Memory Chip or a linked Agent. Requires a Cybereye and takes 2 Option Slots.</t>
        </is>
      </c>
    </row>
    <row r="584">
      <c r="A584" s="21" t="inlineStr">
        <is>
          <t>Targeting Scope</t>
        </is>
      </c>
      <c r="B584" s="21" t="inlineStr">
        <is>
          <t>Кибернетика</t>
        </is>
      </c>
      <c r="C584" s="21" t="inlineStr">
        <is>
          <t>Cyberoptics</t>
        </is>
      </c>
      <c r="D584" s="21" t="inlineStr"/>
      <c r="E584" s="21" t="inlineStr"/>
      <c r="F584" s="31" t="n"/>
      <c r="G584" s="31" t="n"/>
      <c r="H584" s="31" t="n"/>
      <c r="I584" s="31" t="n"/>
      <c r="J584" s="31" t="n">
        <v>0</v>
      </c>
      <c r="K584" s="31" t="n">
        <v>0</v>
      </c>
      <c r="L584" s="31" t="n">
        <v>0</v>
      </c>
      <c r="M584" s="31" t="n">
        <v>3</v>
      </c>
      <c r="N584" s="21" t="inlineStr">
        <is>
          <t>Clinic</t>
        </is>
      </c>
      <c r="O584" s="21" t="inlineStr"/>
      <c r="P584" s="21" t="inlineStr"/>
      <c r="Q584" s="21" t="inlineStr"/>
      <c r="R584" s="40" t="n">
        <v>500</v>
      </c>
      <c r="S584" s="21" t="inlineStr">
        <is>
          <t>CP:R 361</t>
        </is>
      </c>
      <c r="T584" s="21" t="inlineStr">
        <is>
          <t>Cybereye Option. User gets a +1 to their Check when making an Aimed Shot. Multiple installations of this option provide user no additional benefit. Requires a Cybereye.</t>
        </is>
      </c>
    </row>
    <row r="585">
      <c r="A585" s="21" t="inlineStr">
        <is>
          <t>TeleOptics</t>
        </is>
      </c>
      <c r="B585" s="21" t="inlineStr">
        <is>
          <t>Кибернетика</t>
        </is>
      </c>
      <c r="C585" s="21" t="inlineStr">
        <is>
          <t>Cyberoptics</t>
        </is>
      </c>
      <c r="D585" s="21" t="inlineStr"/>
      <c r="E585" s="21" t="inlineStr"/>
      <c r="F585" s="31" t="n"/>
      <c r="G585" s="31" t="n"/>
      <c r="H585" s="31" t="n"/>
      <c r="I585" s="31" t="n"/>
      <c r="J585" s="31" t="n">
        <v>0</v>
      </c>
      <c r="K585" s="31" t="n">
        <v>0</v>
      </c>
      <c r="L585" s="31" t="n">
        <v>0</v>
      </c>
      <c r="M585" s="31" t="n">
        <v>3</v>
      </c>
      <c r="N585" s="21" t="inlineStr">
        <is>
          <t>Clinic</t>
        </is>
      </c>
      <c r="O585" s="21" t="inlineStr"/>
      <c r="P585" s="21" t="inlineStr"/>
      <c r="Q585" s="21" t="inlineStr"/>
      <c r="R585" s="40" t="n">
        <v>500</v>
      </c>
      <c r="S585" s="21" t="inlineStr">
        <is>
          <t>CP:R 361</t>
        </is>
      </c>
      <c r="T585" s="21" t="inlineStr">
        <is>
          <t>Cybereye Option. User can see detail up to 800m/yds away. When attacking a target 51m/yds or further away with either a weapon's single shot firing mode or an Aimed Shot, you can add a +1 to your Check. Multiple installa</t>
        </is>
      </c>
    </row>
    <row r="586">
      <c r="A586" s="21" t="inlineStr">
        <is>
          <t>Radiation Detector</t>
        </is>
      </c>
      <c r="B586" s="21" t="inlineStr">
        <is>
          <t>Кибернетика</t>
        </is>
      </c>
      <c r="C586" s="21" t="inlineStr">
        <is>
          <t>Cyberoptics</t>
        </is>
      </c>
      <c r="D586" s="21" t="inlineStr"/>
      <c r="E586" s="21" t="inlineStr"/>
      <c r="F586" s="31" t="n"/>
      <c r="G586" s="31" t="n"/>
      <c r="H586" s="31" t="n"/>
      <c r="I586" s="31" t="n"/>
      <c r="J586" s="31" t="n">
        <v>0</v>
      </c>
      <c r="K586" s="31" t="n">
        <v>0</v>
      </c>
      <c r="L586" s="31" t="n">
        <v>0</v>
      </c>
      <c r="M586" s="31" t="n">
        <v>3</v>
      </c>
      <c r="N586" s="21" t="inlineStr">
        <is>
          <t>Clinic</t>
        </is>
      </c>
      <c r="O586" s="21" t="inlineStr"/>
      <c r="P586" s="21" t="inlineStr"/>
      <c r="Q586" s="21" t="inlineStr"/>
      <c r="R586" s="40" t="n">
        <v>1000</v>
      </c>
      <c r="S586" s="21" t="inlineStr">
        <is>
          <t>CP:R 361</t>
        </is>
      </c>
      <c r="T586" s="21" t="inlineStr">
        <is>
          <t>Cybereye Option. Radiation readings within 100m/yds of the user are displayed in user's vision hovering over their source in the form of a blue glow. Requires a Cybereye.</t>
        </is>
      </c>
    </row>
    <row r="587">
      <c r="A587" s="21" t="inlineStr">
        <is>
          <t>Hello Cutie Sparkle-ize</t>
        </is>
      </c>
      <c r="B587" s="21" t="inlineStr">
        <is>
          <t>Кибернетика</t>
        </is>
      </c>
      <c r="C587" s="21" t="inlineStr">
        <is>
          <t>Cyberoptics</t>
        </is>
      </c>
      <c r="D587" s="21" t="inlineStr"/>
      <c r="E587" s="21" t="inlineStr"/>
      <c r="F587" s="31" t="n"/>
      <c r="G587" s="31" t="n"/>
      <c r="H587" s="31" t="n"/>
      <c r="I587" s="31" t="n"/>
      <c r="J587" s="31" t="n">
        <v>0</v>
      </c>
      <c r="K587" s="31" t="n">
        <v>0</v>
      </c>
      <c r="L587" s="31" t="n">
        <v>0</v>
      </c>
      <c r="M587" s="31" t="n">
        <v>3</v>
      </c>
      <c r="N587" s="21" t="inlineStr">
        <is>
          <t>Clinic</t>
        </is>
      </c>
      <c r="O587" s="21" t="inlineStr"/>
      <c r="P587" s="21" t="inlineStr"/>
      <c r="Q587" s="21" t="inlineStr"/>
      <c r="R587" s="40" t="n">
        <v>250</v>
      </c>
      <c r="S587" s="21" t="inlineStr">
        <is>
          <t>DL:12Cute 6</t>
        </is>
      </c>
      <c r="T587" s="21" t="inlineStr">
        <is>
          <t>Be the waifu you’ve always wanted to date and supersize your cyberoptics with Sparkle-ize for that big-eyes, super-shine look that’ll prove you’re a true moe-aesthetic aficionado. Activate shiitake-me mode, and your cybe</t>
        </is>
      </c>
    </row>
    <row r="588">
      <c r="A588" s="21" t="inlineStr">
        <is>
          <t>Chipware Compartment</t>
        </is>
      </c>
      <c r="B588" s="21" t="inlineStr">
        <is>
          <t>Кибернетика</t>
        </is>
      </c>
      <c r="C588" s="21" t="inlineStr">
        <is>
          <t>Cyberoptics</t>
        </is>
      </c>
      <c r="D588" s="21" t="inlineStr"/>
      <c r="E588" s="21" t="inlineStr"/>
      <c r="F588" s="31" t="n"/>
      <c r="G588" s="31" t="n"/>
      <c r="H588" s="31" t="n"/>
      <c r="I588" s="31" t="n"/>
      <c r="J588" s="31" t="n">
        <v>0</v>
      </c>
      <c r="K588" s="31" t="n">
        <v>0</v>
      </c>
      <c r="L588" s="31" t="n">
        <v>0</v>
      </c>
      <c r="M588" s="31" t="n">
        <v>3</v>
      </c>
      <c r="N588" s="21" t="inlineStr">
        <is>
          <t>Clinic</t>
        </is>
      </c>
      <c r="O588" s="21" t="inlineStr"/>
      <c r="P588" s="21" t="inlineStr"/>
      <c r="Q588" s="21" t="inlineStr"/>
      <c r="R588" s="40" t="n">
        <v>100</v>
      </c>
      <c r="S588" s="21" t="inlineStr">
        <is>
          <t>MC 1 · DL:YNBF 12 · IR5 82</t>
        </is>
      </c>
      <c r="T588" s="21" t="inlineStr">
        <is>
          <t>Cybereye Option. Requires 3 Option Slots. A compartment that can conceal up to four pieces of chipware without a roll. Chipware can be easily removed as an Action by spinning the eye in its socket.</t>
        </is>
      </c>
    </row>
    <row r="589">
      <c r="A589" s="21" t="inlineStr">
        <is>
          <t>Cyberbear™</t>
        </is>
      </c>
      <c r="B589" s="21" t="inlineStr">
        <is>
          <t>Снаряжение</t>
        </is>
      </c>
      <c r="C589" s="21" t="inlineStr">
        <is>
          <t>Cyberpet</t>
        </is>
      </c>
      <c r="D589" s="21" t="inlineStr"/>
      <c r="E589" s="21" t="inlineStr"/>
      <c r="F589" s="31" t="n"/>
      <c r="G589" s="31" t="n"/>
      <c r="H589" s="31" t="n"/>
      <c r="I589" s="31" t="n"/>
      <c r="J589" s="31" t="n">
        <v>0</v>
      </c>
      <c r="K589" s="31" t="n">
        <v>0</v>
      </c>
      <c r="L589" s="31" t="n">
        <v>0</v>
      </c>
      <c r="M589" s="31" t="n">
        <v>0</v>
      </c>
      <c r="N589" s="21" t="inlineStr"/>
      <c r="O589" s="21" t="inlineStr"/>
      <c r="P589" s="21" t="inlineStr"/>
      <c r="Q589" s="21" t="inlineStr"/>
      <c r="R589" s="40" t="n">
        <v>20000</v>
      </c>
      <c r="S589" s="21" t="inlineStr">
        <is>
          <t>DL:YNBF 8 · IR5 78</t>
        </is>
      </c>
      <c r="T589" s="21" t="inlineStr">
        <is>
          <t>The Cyberbear™ does one thing very well; ripping meat to shreds. To make matters worse, some have escaped, and they’ve already found a niche up north in the free state of Alaska’s Yukon Valley. Rumor has it their bioengi</t>
        </is>
      </c>
    </row>
    <row r="590">
      <c r="A590" s="21" t="inlineStr">
        <is>
          <t>Cyberboa™</t>
        </is>
      </c>
      <c r="B590" s="21" t="inlineStr">
        <is>
          <t>Снаряжение</t>
        </is>
      </c>
      <c r="C590" s="21" t="inlineStr">
        <is>
          <t>Cyberpet</t>
        </is>
      </c>
      <c r="D590" s="21" t="inlineStr"/>
      <c r="E590" s="21" t="inlineStr"/>
      <c r="F590" s="31" t="n"/>
      <c r="G590" s="31" t="n"/>
      <c r="H590" s="31" t="n"/>
      <c r="I590" s="31" t="n"/>
      <c r="J590" s="31" t="n">
        <v>0</v>
      </c>
      <c r="K590" s="31" t="n">
        <v>0</v>
      </c>
      <c r="L590" s="31" t="n">
        <v>0</v>
      </c>
      <c r="M590" s="31" t="n">
        <v>0</v>
      </c>
      <c r="N590" s="21" t="inlineStr"/>
      <c r="O590" s="21" t="inlineStr"/>
      <c r="P590" s="21" t="inlineStr"/>
      <c r="Q590" s="21" t="inlineStr"/>
      <c r="R590" s="40" t="n">
        <v>4000</v>
      </c>
      <c r="S590" s="21" t="inlineStr">
        <is>
          <t>DL:YNBF 9 · IR5 79</t>
        </is>
      </c>
      <c r="T590" s="21" t="inlineStr">
        <is>
          <t>Designed and marketed as a search and rescue operative, what Biotechnica actually released with the Cyberboa™ was a serpent combining the DNA of all the world’s most dangerous snakes in a single creature. No Cyberpet® be</t>
        </is>
      </c>
    </row>
    <row r="591">
      <c r="A591" s="21" t="inlineStr">
        <is>
          <t>Cyberrat™</t>
        </is>
      </c>
      <c r="B591" s="21" t="inlineStr">
        <is>
          <t>Снаряжение</t>
        </is>
      </c>
      <c r="C591" s="21" t="inlineStr">
        <is>
          <t>Cyberpet</t>
        </is>
      </c>
      <c r="D591" s="21" t="inlineStr"/>
      <c r="E591" s="21" t="inlineStr"/>
      <c r="F591" s="31" t="n"/>
      <c r="G591" s="31" t="n"/>
      <c r="H591" s="31" t="n"/>
      <c r="I591" s="31" t="n"/>
      <c r="J591" s="31" t="n">
        <v>0</v>
      </c>
      <c r="K591" s="31" t="n">
        <v>0</v>
      </c>
      <c r="L591" s="31" t="n">
        <v>0</v>
      </c>
      <c r="M591" s="31" t="n">
        <v>0</v>
      </c>
      <c r="N591" s="21" t="inlineStr"/>
      <c r="O591" s="21" t="inlineStr"/>
      <c r="P591" s="21" t="inlineStr"/>
      <c r="Q591" s="21" t="inlineStr"/>
      <c r="R591" s="40" t="n">
        <v>1000</v>
      </c>
      <c r="S591" s="21" t="inlineStr">
        <is>
          <t>DL:YNBF 10 · IR5 80</t>
        </is>
      </c>
      <c r="T591" s="21" t="inlineStr">
        <is>
          <t>A bio-enhanced, venomous rat bred to be used in corporate espionage. Freshly equipped with enhanced surveillance cyberware and fitted with skinweave, this Cyberpet® makes a great expendable operative or a best friend who</t>
        </is>
      </c>
    </row>
    <row r="592">
      <c r="A592" s="21" t="inlineStr">
        <is>
          <t>Cyberwolf™</t>
        </is>
      </c>
      <c r="B592" s="21" t="inlineStr">
        <is>
          <t>Снаряжение</t>
        </is>
      </c>
      <c r="C592" s="21" t="inlineStr">
        <is>
          <t>Cyberpet</t>
        </is>
      </c>
      <c r="D592" s="21" t="inlineStr"/>
      <c r="E592" s="21" t="inlineStr"/>
      <c r="F592" s="31" t="n"/>
      <c r="G592" s="31" t="n"/>
      <c r="H592" s="31" t="n"/>
      <c r="I592" s="31" t="n"/>
      <c r="J592" s="31" t="n">
        <v>0</v>
      </c>
      <c r="K592" s="31" t="n">
        <v>0</v>
      </c>
      <c r="L592" s="31" t="n">
        <v>0</v>
      </c>
      <c r="M592" s="31" t="n">
        <v>0</v>
      </c>
      <c r="N592" s="21" t="inlineStr"/>
      <c r="O592" s="21" t="inlineStr"/>
      <c r="P592" s="21" t="inlineStr"/>
      <c r="Q592" s="21" t="inlineStr"/>
      <c r="R592" s="40" t="n">
        <v>4000</v>
      </c>
      <c r="S592" s="21" t="inlineStr">
        <is>
          <t>DL:YNBF 11 · IR5 81</t>
        </is>
      </c>
      <c r="T592" s="21" t="inlineStr">
        <is>
          <t>Cyber-enhanced pack hunters created to be the new top of the food chain. Each Custom Security Canine is enhanced with cyberware to improve the efficiency of the pack and state-of-the-art hydraulic jaws engineered for clo</t>
        </is>
      </c>
    </row>
    <row r="593">
      <c r="A593" s="21" t="inlineStr">
        <is>
          <t>Datarabbit™</t>
        </is>
      </c>
      <c r="B593" s="21" t="inlineStr">
        <is>
          <t>Снаряжение</t>
        </is>
      </c>
      <c r="C593" s="21" t="inlineStr">
        <is>
          <t>Cyberpet</t>
        </is>
      </c>
      <c r="D593" s="21" t="inlineStr"/>
      <c r="E593" s="21" t="inlineStr"/>
      <c r="F593" s="31" t="n"/>
      <c r="G593" s="31" t="n"/>
      <c r="H593" s="31" t="n"/>
      <c r="I593" s="31" t="n"/>
      <c r="J593" s="31" t="n">
        <v>0</v>
      </c>
      <c r="K593" s="31" t="n">
        <v>0</v>
      </c>
      <c r="L593" s="31" t="n">
        <v>0</v>
      </c>
      <c r="M593" s="31" t="n">
        <v>0</v>
      </c>
      <c r="N593" s="21" t="inlineStr"/>
      <c r="O593" s="21" t="inlineStr"/>
      <c r="P593" s="21" t="inlineStr"/>
      <c r="Q593" s="21" t="inlineStr"/>
      <c r="R593" s="40" t="n">
        <v>1000</v>
      </c>
      <c r="S593" s="21" t="inlineStr">
        <is>
          <t>DL:YNBF 4 · IR5 74</t>
        </is>
      </c>
      <c r="T593" s="21" t="inlineStr">
        <is>
          <t>A biologically engineered data-carrier. This pet’s eye is an EMP-protected storage locker for holding sensitive memory chips. With its naturally fast speed and mobility, the rabbit can be released to keep data safe and l</t>
        </is>
      </c>
    </row>
    <row r="594">
      <c r="A594" s="21" t="inlineStr">
        <is>
          <t>Forever Turtle™</t>
        </is>
      </c>
      <c r="B594" s="21" t="inlineStr">
        <is>
          <t>Снаряжение</t>
        </is>
      </c>
      <c r="C594" s="21" t="inlineStr">
        <is>
          <t>Cyberpet</t>
        </is>
      </c>
      <c r="D594" s="21" t="inlineStr"/>
      <c r="E594" s="21" t="inlineStr"/>
      <c r="F594" s="31" t="n"/>
      <c r="G594" s="31" t="n"/>
      <c r="H594" s="31" t="n"/>
      <c r="I594" s="31" t="n"/>
      <c r="J594" s="31" t="n">
        <v>0</v>
      </c>
      <c r="K594" s="31" t="n">
        <v>0</v>
      </c>
      <c r="L594" s="31" t="n">
        <v>0</v>
      </c>
      <c r="M594" s="31" t="n">
        <v>0</v>
      </c>
      <c r="N594" s="21" t="inlineStr"/>
      <c r="O594" s="21" t="inlineStr"/>
      <c r="P594" s="21" t="inlineStr"/>
      <c r="Q594" s="21" t="inlineStr"/>
      <c r="R594" s="40" t="n">
        <v>2000</v>
      </c>
      <c r="S594" s="21" t="inlineStr">
        <is>
          <t>DL:YNBF 5 · IR5 75</t>
        </is>
      </c>
      <c r="T594" s="21" t="inlineStr">
        <is>
          <t>One of the original Cyberpets®. The Forever Turtle™ comes equipped with a Trauma Response Nanomatrix to ensure longevity. Twenty years of research and development and DNA spliced from more than six species have turned th</t>
        </is>
      </c>
    </row>
    <row r="595">
      <c r="A595" s="21" t="inlineStr">
        <is>
          <t>Neon Newt™</t>
        </is>
      </c>
      <c r="B595" s="21" t="inlineStr">
        <is>
          <t>Снаряжение</t>
        </is>
      </c>
      <c r="C595" s="21" t="inlineStr">
        <is>
          <t>Cyberpet</t>
        </is>
      </c>
      <c r="D595" s="21" t="inlineStr"/>
      <c r="E595" s="21" t="inlineStr"/>
      <c r="F595" s="31" t="n"/>
      <c r="G595" s="31" t="n"/>
      <c r="H595" s="31" t="n"/>
      <c r="I595" s="31" t="n"/>
      <c r="J595" s="31" t="n">
        <v>0</v>
      </c>
      <c r="K595" s="31" t="n">
        <v>0</v>
      </c>
      <c r="L595" s="31" t="n">
        <v>0</v>
      </c>
      <c r="M595" s="31" t="n">
        <v>0</v>
      </c>
      <c r="N595" s="21" t="inlineStr"/>
      <c r="O595" s="21" t="inlineStr"/>
      <c r="P595" s="21" t="inlineStr"/>
      <c r="Q595" s="21" t="inlineStr"/>
      <c r="R595" s="40" t="n">
        <v>2000</v>
      </c>
      <c r="S595" s="21" t="inlineStr">
        <is>
          <t>DL:YNBF 6 · IR5 76</t>
        </is>
      </c>
      <c r="T595" s="21" t="inlineStr">
        <is>
          <t>A genetically modified, pocket-sized bio-flamethrower. When squeezed or otherwise agitated, the newt emits a fiery breath. Its acid-secreting skin comes in an impressive variety of lab-engineered neon pinks, blues, and g</t>
        </is>
      </c>
    </row>
    <row r="596">
      <c r="A596" s="21" t="inlineStr">
        <is>
          <t>Obsidian Ocelot™</t>
        </is>
      </c>
      <c r="B596" s="21" t="inlineStr">
        <is>
          <t>Снаряжение</t>
        </is>
      </c>
      <c r="C596" s="21" t="inlineStr">
        <is>
          <t>Cyberpet</t>
        </is>
      </c>
      <c r="D596" s="21" t="inlineStr"/>
      <c r="E596" s="21" t="inlineStr"/>
      <c r="F596" s="31" t="n"/>
      <c r="G596" s="31" t="n"/>
      <c r="H596" s="31" t="n"/>
      <c r="I596" s="31" t="n"/>
      <c r="J596" s="31" t="n">
        <v>0</v>
      </c>
      <c r="K596" s="31" t="n">
        <v>0</v>
      </c>
      <c r="L596" s="31" t="n">
        <v>0</v>
      </c>
      <c r="M596" s="31" t="n">
        <v>0</v>
      </c>
      <c r="N596" s="21" t="inlineStr"/>
      <c r="O596" s="21" t="inlineStr"/>
      <c r="P596" s="21" t="inlineStr"/>
      <c r="Q596" s="21" t="inlineStr"/>
      <c r="R596" s="40" t="n">
        <v>4000</v>
      </c>
      <c r="S596" s="21" t="inlineStr">
        <is>
          <t>DL:YNBF 7 · IR5 77</t>
        </is>
      </c>
      <c r="T596" s="21" t="inlineStr">
        <is>
          <t>Beautifully bred for high-end customers, these perfect cyberpreds are both gorgeous ornaments and stealthy killers waiting to be unleashed. Most Obsidian Ocelots are kept out of the public eye and pampered endlessly. A s</t>
        </is>
      </c>
    </row>
    <row r="597">
      <c r="A597" s="21" t="inlineStr">
        <is>
          <t>Battleglove</t>
        </is>
      </c>
      <c r="B597" s="21" t="inlineStr">
        <is>
          <t>Снаряжение</t>
        </is>
      </c>
      <c r="C597" s="21" t="inlineStr">
        <is>
          <t>Cyberware Alternative</t>
        </is>
      </c>
      <c r="D597" s="21" t="inlineStr"/>
      <c r="E597" s="21" t="inlineStr"/>
      <c r="F597" s="31" t="n"/>
      <c r="G597" s="31" t="n"/>
      <c r="H597" s="31" t="n"/>
      <c r="I597" s="31" t="n"/>
      <c r="J597" s="31" t="n">
        <v>0</v>
      </c>
      <c r="K597" s="31" t="n">
        <v>0</v>
      </c>
      <c r="L597" s="31" t="n">
        <v>0</v>
      </c>
      <c r="M597" s="31" t="n">
        <v>0</v>
      </c>
      <c r="N597" s="21" t="inlineStr"/>
      <c r="O597" s="21" t="inlineStr"/>
      <c r="P597" s="21" t="inlineStr"/>
      <c r="Q597" s="21" t="inlineStr"/>
      <c r="R597" s="40" t="n">
        <v>1000</v>
      </c>
      <c r="S597" s="21" t="inlineStr">
        <is>
          <t>CP:R 347</t>
        </is>
      </c>
      <c r="T597" s="21" t="inlineStr">
        <is>
          <t>A heavy gauntlet covering the hand and forearm. Contains three option slots for Cyberarm or Cyberlimb options. When worn, the options stored in the glove’s slots can be accessed. Putting on a Battleglove and taking one o</t>
        </is>
      </c>
    </row>
    <row r="598">
      <c r="A598" s="21" t="inlineStr">
        <is>
          <t>CyberDude Smart Glove</t>
        </is>
      </c>
      <c r="B598" s="21" t="inlineStr">
        <is>
          <t>Снаряжение</t>
        </is>
      </c>
      <c r="C598" s="21" t="inlineStr">
        <is>
          <t>Cyberware Alternative</t>
        </is>
      </c>
      <c r="D598" s="21" t="inlineStr"/>
      <c r="E598" s="21" t="inlineStr"/>
      <c r="F598" s="31" t="n"/>
      <c r="G598" s="31" t="n"/>
      <c r="H598" s="31" t="n"/>
      <c r="I598" s="31" t="n"/>
      <c r="J598" s="31" t="n">
        <v>0</v>
      </c>
      <c r="K598" s="31" t="n">
        <v>0</v>
      </c>
      <c r="L598" s="31" t="n">
        <v>0</v>
      </c>
      <c r="M598" s="31" t="n">
        <v>0</v>
      </c>
      <c r="N598" s="21" t="inlineStr"/>
      <c r="O598" s="21" t="inlineStr"/>
      <c r="P598" s="21" t="inlineStr"/>
      <c r="Q598" s="21" t="inlineStr"/>
      <c r="R598" s="40" t="n">
        <v>750</v>
      </c>
      <c r="S598" s="21" t="inlineStr">
        <is>
          <t>DL:12RED 3 · IR5 99</t>
        </is>
      </c>
      <c r="T598" s="21" t="inlineStr">
        <is>
          <t>The CyberDude Smart Glove is a fingerless motorcycle glove that comes with a Subdermal Grip (Which still requires a Neural Link) and can be installed with two Cyberarm Option. Finger-based cyberware such as Cyberfingers,</t>
        </is>
      </c>
    </row>
    <row r="599">
      <c r="A599" s="21" t="inlineStr">
        <is>
          <t>Dynalar Xtra-Dex Smart Glove</t>
        </is>
      </c>
      <c r="B599" s="21" t="inlineStr">
        <is>
          <t>Снаряжение</t>
        </is>
      </c>
      <c r="C599" s="21" t="inlineStr">
        <is>
          <t>Cyberware Alternative</t>
        </is>
      </c>
      <c r="D599" s="21" t="inlineStr"/>
      <c r="E599" s="21" t="inlineStr"/>
      <c r="F599" s="31" t="n"/>
      <c r="G599" s="31" t="n"/>
      <c r="H599" s="31" t="n"/>
      <c r="I599" s="31" t="n"/>
      <c r="J599" s="31" t="n">
        <v>0</v>
      </c>
      <c r="K599" s="31" t="n">
        <v>0</v>
      </c>
      <c r="L599" s="31" t="n">
        <v>0</v>
      </c>
      <c r="M599" s="31" t="n">
        <v>0</v>
      </c>
      <c r="N599" s="21" t="inlineStr"/>
      <c r="O599" s="21" t="inlineStr"/>
      <c r="P599" s="21" t="inlineStr"/>
      <c r="Q599" s="21" t="inlineStr"/>
      <c r="R599" s="40" t="n">
        <v>1000</v>
      </c>
      <c r="S599" s="21" t="inlineStr">
        <is>
          <t>DL:12Gear 3 · IR4 67</t>
        </is>
      </c>
      <c r="T599" s="21" t="inlineStr">
        <is>
          <t>The Dynalar Xtra-Dex Smart Glove is a Battleglove to which 2 Cyberarm or Cyberlimb options and 5 Cyberfingers can be installed. It requires the use of Interface Plugs.</t>
        </is>
      </c>
    </row>
    <row r="600">
      <c r="A600" s="21" t="inlineStr">
        <is>
          <t>Húsafell Hydraulic Underjack</t>
        </is>
      </c>
      <c r="B600" s="21" t="inlineStr">
        <is>
          <t>Снаряжение</t>
        </is>
      </c>
      <c r="C600" s="21" t="inlineStr">
        <is>
          <t>Cyberware Alternative</t>
        </is>
      </c>
      <c r="D600" s="21" t="inlineStr"/>
      <c r="E600" s="21" t="inlineStr"/>
      <c r="F600" s="31" t="n"/>
      <c r="G600" s="31" t="n"/>
      <c r="H600" s="31" t="n"/>
      <c r="I600" s="31" t="n"/>
      <c r="J600" s="31" t="n">
        <v>0</v>
      </c>
      <c r="K600" s="31" t="n">
        <v>0</v>
      </c>
      <c r="L600" s="31" t="n">
        <v>0</v>
      </c>
      <c r="M600" s="31" t="n">
        <v>0</v>
      </c>
      <c r="N600" s="21" t="inlineStr"/>
      <c r="O600" s="21" t="inlineStr"/>
      <c r="P600" s="21" t="inlineStr"/>
      <c r="Q600" s="21" t="inlineStr"/>
      <c r="R600" s="40" t="n">
        <v>1000</v>
      </c>
      <c r="S600" s="21" t="inlineStr">
        <is>
          <t>DL:12Cute 7</t>
        </is>
      </c>
      <c r="T600" s="21" t="inlineStr">
        <is>
          <t>The Hydraulic Underjack is an undershirt with hydraulic supports that increase the wearer's BODY by 2. It can’t increase BODY over 10, doesn’t effect HP or Death Saves, and doesn’t stack with other BODY-increasing equipm</t>
        </is>
      </c>
    </row>
    <row r="601">
      <c r="A601" s="21" t="inlineStr">
        <is>
          <t>MechaMan Smart Glove</t>
        </is>
      </c>
      <c r="B601" s="21" t="inlineStr">
        <is>
          <t>Снаряжение</t>
        </is>
      </c>
      <c r="C601" s="21" t="inlineStr">
        <is>
          <t>Cyberware Alternative</t>
        </is>
      </c>
      <c r="D601" s="21" t="inlineStr"/>
      <c r="E601" s="21" t="inlineStr"/>
      <c r="F601" s="31" t="n"/>
      <c r="G601" s="31" t="n"/>
      <c r="H601" s="31" t="n"/>
      <c r="I601" s="31" t="n"/>
      <c r="J601" s="31" t="n">
        <v>0</v>
      </c>
      <c r="K601" s="31" t="n">
        <v>0</v>
      </c>
      <c r="L601" s="31" t="n">
        <v>0</v>
      </c>
      <c r="M601" s="31" t="n">
        <v>0</v>
      </c>
      <c r="N601" s="21" t="inlineStr"/>
      <c r="O601" s="21" t="inlineStr"/>
      <c r="P601" s="21" t="inlineStr"/>
      <c r="Q601" s="21" t="inlineStr"/>
      <c r="R601" s="40" t="n">
        <v>500</v>
      </c>
      <c r="S601" s="21" t="inlineStr">
        <is>
          <t>BC 37</t>
        </is>
      </c>
      <c r="T601" s="21" t="inlineStr">
        <is>
          <t>The MechaMan Smart Glove is an electronic motorcycle glove. It comes with a Subdermal Grip (Which still requires a Neural Link) and can be installed with one Cyberarm Option.</t>
        </is>
      </c>
    </row>
    <row r="602">
      <c r="A602" s="21" t="inlineStr">
        <is>
          <t>Mercurius Cyberchair</t>
        </is>
      </c>
      <c r="B602" s="21" t="inlineStr">
        <is>
          <t>Снаряжение</t>
        </is>
      </c>
      <c r="C602" s="21" t="inlineStr">
        <is>
          <t>Cyberware Alternative</t>
        </is>
      </c>
      <c r="D602" s="21" t="inlineStr"/>
      <c r="E602" s="21" t="inlineStr"/>
      <c r="F602" s="31" t="n"/>
      <c r="G602" s="31" t="n"/>
      <c r="H602" s="31" t="n"/>
      <c r="I602" s="31" t="n"/>
      <c r="J602" s="31" t="n">
        <v>0</v>
      </c>
      <c r="K602" s="31" t="n">
        <v>0</v>
      </c>
      <c r="L602" s="31" t="n">
        <v>0</v>
      </c>
      <c r="M602" s="31" t="n">
        <v>0</v>
      </c>
      <c r="N602" s="21" t="inlineStr"/>
      <c r="O602" s="21" t="inlineStr"/>
      <c r="P602" s="21" t="inlineStr"/>
      <c r="Q602" s="21" t="inlineStr"/>
      <c r="R602" s="40" t="n">
        <v>100</v>
      </c>
      <c r="S602" s="21" t="inlineStr">
        <is>
          <t>DL:CC 2 · DGD 147 · IR1 38</t>
        </is>
      </c>
      <c r="T602" s="21" t="inlineStr">
        <is>
          <t>The Mercurius is Rocklin Augmentics consumer sports model of cyberchair. It can be piloted using either manual controls or Interface Plugs, and has a MOVE of 5. Its automatic harnessing system prevents its user from bein</t>
        </is>
      </c>
    </row>
    <row r="603">
      <c r="A603" s="21" t="inlineStr">
        <is>
          <t>Smart Ears</t>
        </is>
      </c>
      <c r="B603" s="21" t="inlineStr">
        <is>
          <t>Снаряжение</t>
        </is>
      </c>
      <c r="C603" s="21" t="inlineStr">
        <is>
          <t>Cyberware Alternative</t>
        </is>
      </c>
      <c r="D603" s="21" t="inlineStr"/>
      <c r="E603" s="21" t="inlineStr"/>
      <c r="F603" s="31" t="n"/>
      <c r="G603" s="31" t="n"/>
      <c r="H603" s="31" t="n"/>
      <c r="I603" s="31" t="n"/>
      <c r="J603" s="31" t="n">
        <v>0</v>
      </c>
      <c r="K603" s="31" t="n">
        <v>0</v>
      </c>
      <c r="L603" s="31" t="n">
        <v>0</v>
      </c>
      <c r="M603" s="31" t="n">
        <v>0</v>
      </c>
      <c r="N603" s="21" t="inlineStr"/>
      <c r="O603" s="21" t="inlineStr"/>
      <c r="P603" s="21" t="inlineStr"/>
      <c r="Q603" s="21" t="inlineStr"/>
      <c r="R603" s="40" t="n">
        <v>1000</v>
      </c>
      <c r="S603" s="21" t="inlineStr">
        <is>
          <t>DL:12RED 4 · IR5 100</t>
        </is>
      </c>
      <c r="T603" s="21" t="inlineStr">
        <is>
          <t>Smart Ears are high-tech headphones installed with a Radio Scanner / Music Player and 2 Option Slots for Cyberaudio. They are heavily customisable and available in several sizes and shapes.</t>
        </is>
      </c>
    </row>
    <row r="604">
      <c r="A604" s="21" t="inlineStr">
        <is>
          <t>Smart Glasses</t>
        </is>
      </c>
      <c r="B604" s="21" t="inlineStr">
        <is>
          <t>Снаряжение</t>
        </is>
      </c>
      <c r="C604" s="21" t="inlineStr">
        <is>
          <t>Cyberware Alternative</t>
        </is>
      </c>
      <c r="D604" s="21" t="inlineStr"/>
      <c r="E604" s="21" t="inlineStr"/>
      <c r="F604" s="31" t="n"/>
      <c r="G604" s="31" t="n"/>
      <c r="H604" s="31" t="n"/>
      <c r="I604" s="31" t="n"/>
      <c r="J604" s="31" t="n">
        <v>0</v>
      </c>
      <c r="K604" s="31" t="n">
        <v>0</v>
      </c>
      <c r="L604" s="31" t="n">
        <v>0</v>
      </c>
      <c r="M604" s="31" t="n">
        <v>0</v>
      </c>
      <c r="N604" s="21" t="inlineStr"/>
      <c r="O604" s="21" t="inlineStr"/>
      <c r="P604" s="21" t="inlineStr"/>
      <c r="Q604" s="21" t="inlineStr"/>
      <c r="R604" s="40" t="n">
        <v>500</v>
      </c>
      <c r="S604" s="21" t="inlineStr">
        <is>
          <t>CP:R 354</t>
        </is>
      </c>
      <c r="T604" s="21" t="inlineStr">
        <is>
          <t>Contains two option slots for Cybereye options. When worn, Smart Glasses give the user access to the benefits of these options. When cybereye options are installed into the glasses, they always count as if they were pair</t>
        </is>
      </c>
    </row>
    <row r="605">
      <c r="A605" s="21" t="inlineStr">
        <is>
          <t>Smart Lens</t>
        </is>
      </c>
      <c r="B605" s="21" t="inlineStr">
        <is>
          <t>Снаряжение</t>
        </is>
      </c>
      <c r="C605" s="21" t="inlineStr">
        <is>
          <t>Cyberware Alternative</t>
        </is>
      </c>
      <c r="D605" s="21" t="inlineStr"/>
      <c r="E605" s="21" t="inlineStr"/>
      <c r="F605" s="31" t="n"/>
      <c r="G605" s="31" t="n"/>
      <c r="H605" s="31" t="n"/>
      <c r="I605" s="31" t="n"/>
      <c r="J605" s="31" t="n">
        <v>0</v>
      </c>
      <c r="K605" s="31" t="n">
        <v>0</v>
      </c>
      <c r="L605" s="31" t="n">
        <v>0</v>
      </c>
      <c r="M605" s="31" t="n">
        <v>0</v>
      </c>
      <c r="N605" s="21" t="inlineStr"/>
      <c r="O605" s="21" t="inlineStr"/>
      <c r="P605" s="21" t="inlineStr"/>
      <c r="Q605" s="21" t="inlineStr"/>
      <c r="R605" s="40" t="n">
        <v>500</v>
      </c>
      <c r="S605" s="21" t="inlineStr">
        <is>
          <t>MC 1 · DGD 148</t>
        </is>
      </c>
      <c r="T605" s="21" t="inlineStr">
        <is>
          <t>Smart Lens are contact lenses which can be equipped with one Cyberoptic Options per eye.</t>
        </is>
      </c>
    </row>
    <row r="606">
      <c r="A606" s="21" t="inlineStr">
        <is>
          <t>Spider Cyberchair</t>
        </is>
      </c>
      <c r="B606" s="21" t="inlineStr">
        <is>
          <t>Снаряжение</t>
        </is>
      </c>
      <c r="C606" s="21" t="inlineStr">
        <is>
          <t>Cyberware Alternative</t>
        </is>
      </c>
      <c r="D606" s="21" t="inlineStr"/>
      <c r="E606" s="21" t="inlineStr"/>
      <c r="F606" s="31" t="n"/>
      <c r="G606" s="31" t="n"/>
      <c r="H606" s="31" t="n"/>
      <c r="I606" s="31" t="n"/>
      <c r="J606" s="31" t="n">
        <v>0</v>
      </c>
      <c r="K606" s="31" t="n">
        <v>0</v>
      </c>
      <c r="L606" s="31" t="n">
        <v>0</v>
      </c>
      <c r="M606" s="31" t="n">
        <v>0</v>
      </c>
      <c r="N606" s="21" t="inlineStr"/>
      <c r="O606" s="21" t="inlineStr"/>
      <c r="P606" s="21" t="inlineStr"/>
      <c r="Q606" s="21" t="inlineStr"/>
      <c r="R606" s="40" t="n">
        <v>1000</v>
      </c>
      <c r="S606" s="21" t="inlineStr">
        <is>
          <t>DL:CC 2 · IR1 38</t>
        </is>
      </c>
      <c r="T606" s="21" t="inlineStr">
        <is>
          <t>The Rocklin Spider Cyberchair is Rocklin Augmentics most expensive Cyberchair. It can be piloted using either manual controls or Interface Plugs, and has a MOVE of 5. Its automatic harnessing system prevents its user fro</t>
        </is>
      </c>
    </row>
    <row r="607">
      <c r="A607" s="21" t="inlineStr">
        <is>
          <t>Gor Arms: Hydaulic Ram</t>
        </is>
      </c>
      <c r="B607" s="21" t="inlineStr">
        <is>
          <t>Кибернетика</t>
        </is>
      </c>
      <c r="C607" s="21" t="inlineStr">
        <is>
          <t>Cyberware Enhancements</t>
        </is>
      </c>
      <c r="D607" s="21" t="inlineStr"/>
      <c r="E607" s="21" t="inlineStr"/>
      <c r="F607" s="31" t="n"/>
      <c r="G607" s="31" t="n"/>
      <c r="H607" s="31" t="n"/>
      <c r="I607" s="31" t="n"/>
      <c r="J607" s="31" t="n">
        <v>0</v>
      </c>
      <c r="K607" s="31" t="n">
        <v>0</v>
      </c>
      <c r="L607" s="31" t="n">
        <v>0</v>
      </c>
      <c r="M607" s="31" t="n">
        <v>0</v>
      </c>
      <c r="N607" s="21" t="inlineStr">
        <is>
          <t>Tech</t>
        </is>
      </c>
      <c r="O607" s="21" t="inlineStr"/>
      <c r="P607" s="21" t="inlineStr"/>
      <c r="Q607" s="21" t="inlineStr"/>
      <c r="R607" s="40" t="n">
        <v>1000</v>
      </c>
      <c r="S607" s="21" t="inlineStr">
        <is>
          <t>DL:MK2 2</t>
        </is>
      </c>
      <c r="T607" s="21" t="inlineStr">
        <is>
          <t>A state-of-the-art piston system makes light work of tough demolition jobs. Gorilla Arm Cyberware Enhancement. The piston systems of the Gorilla Arm enhance the damage done to cover (and only cover), adding 3d6 to the we</t>
        </is>
      </c>
    </row>
    <row r="608">
      <c r="A608" s="21" t="inlineStr">
        <is>
          <t>Gor Arms: Pneumatic Actuation</t>
        </is>
      </c>
      <c r="B608" s="21" t="inlineStr">
        <is>
          <t>Кибернетика</t>
        </is>
      </c>
      <c r="C608" s="21" t="inlineStr">
        <is>
          <t>Cyberware Enhancements</t>
        </is>
      </c>
      <c r="D608" s="21" t="inlineStr"/>
      <c r="E608" s="21" t="inlineStr"/>
      <c r="F608" s="31" t="n"/>
      <c r="G608" s="31" t="n"/>
      <c r="H608" s="31" t="n"/>
      <c r="I608" s="31" t="n"/>
      <c r="J608" s="31" t="n">
        <v>0</v>
      </c>
      <c r="K608" s="31" t="n">
        <v>0</v>
      </c>
      <c r="L608" s="31" t="n">
        <v>0</v>
      </c>
      <c r="M608" s="31" t="n">
        <v>0</v>
      </c>
      <c r="N608" s="21" t="inlineStr">
        <is>
          <t>Tech</t>
        </is>
      </c>
      <c r="O608" s="21" t="inlineStr"/>
      <c r="P608" s="21" t="inlineStr"/>
      <c r="Q608" s="21" t="inlineStr"/>
      <c r="R608" s="40" t="n">
        <v>1000</v>
      </c>
      <c r="S608" s="21" t="inlineStr">
        <is>
          <t>DL:MK2 2</t>
        </is>
      </c>
      <c r="T608" s="21" t="inlineStr">
        <is>
          <t>A series of rotary pneumatic actuators improve range ofmotion for delicate tasks of intense violence. Gorilla Arm Cyberware Enhancement. The pneumatic actuators of the Gorilla Arm enhance the user’s ability to pinpoint d</t>
        </is>
      </c>
    </row>
    <row r="609">
      <c r="A609" s="21" t="inlineStr">
        <is>
          <t>Gor Arms: Tungsten Reinforcement</t>
        </is>
      </c>
      <c r="B609" s="21" t="inlineStr">
        <is>
          <t>Кибернетика</t>
        </is>
      </c>
      <c r="C609" s="21" t="inlineStr">
        <is>
          <t>Cyberware Enhancements</t>
        </is>
      </c>
      <c r="D609" s="21" t="inlineStr"/>
      <c r="E609" s="21" t="inlineStr"/>
      <c r="F609" s="31" t="n"/>
      <c r="G609" s="31" t="n"/>
      <c r="H609" s="31" t="n"/>
      <c r="I609" s="31" t="n"/>
      <c r="J609" s="31" t="n">
        <v>0</v>
      </c>
      <c r="K609" s="31" t="n">
        <v>0</v>
      </c>
      <c r="L609" s="31" t="n">
        <v>0</v>
      </c>
      <c r="M609" s="31" t="n">
        <v>0</v>
      </c>
      <c r="N609" s="21" t="inlineStr">
        <is>
          <t>Tech</t>
        </is>
      </c>
      <c r="O609" s="21" t="inlineStr"/>
      <c r="P609" s="21" t="inlineStr"/>
      <c r="Q609" s="21" t="inlineStr"/>
      <c r="R609" s="40" t="n">
        <v>500</v>
      </c>
      <c r="S609" s="21" t="inlineStr">
        <is>
          <t>DL:MK2 2</t>
        </is>
      </c>
      <c r="T609" s="21" t="inlineStr">
        <is>
          <t>Careful application of tungsten enhances the Gorilla Arm’s knuckles and internal structure, making them perfect for military and police applications. Gorilla Arm Cyberware Enhancement. The additional reinforcement of the</t>
        </is>
      </c>
    </row>
    <row r="610">
      <c r="A610" s="21" t="inlineStr">
        <is>
          <t>Mantis Blade: Double-Edged</t>
        </is>
      </c>
      <c r="B610" s="21" t="inlineStr">
        <is>
          <t>Кибернетика</t>
        </is>
      </c>
      <c r="C610" s="21" t="inlineStr">
        <is>
          <t>Cyberware Enhancements</t>
        </is>
      </c>
      <c r="D610" s="21" t="inlineStr"/>
      <c r="E610" s="21" t="inlineStr"/>
      <c r="F610" s="31" t="n"/>
      <c r="G610" s="31" t="n"/>
      <c r="H610" s="31" t="n"/>
      <c r="I610" s="31" t="n"/>
      <c r="J610" s="31" t="n">
        <v>0</v>
      </c>
      <c r="K610" s="31" t="n">
        <v>0</v>
      </c>
      <c r="L610" s="31" t="n">
        <v>0</v>
      </c>
      <c r="M610" s="31" t="n">
        <v>0</v>
      </c>
      <c r="N610" s="21" t="inlineStr">
        <is>
          <t>Tech</t>
        </is>
      </c>
      <c r="O610" s="21" t="inlineStr"/>
      <c r="P610" s="21" t="inlineStr"/>
      <c r="Q610" s="21" t="inlineStr"/>
      <c r="R610" s="40" t="n">
        <v>1000</v>
      </c>
      <c r="S610" s="21" t="inlineStr">
        <is>
          <t>DL:MK2 3</t>
        </is>
      </c>
      <c r="T610" s="21" t="inlineStr">
        <is>
          <t>With a second edge to work with, you can cut deeper than ever before. Mantis Blade Cyberware Enhancement. The extra cutting edge increases the chances of inflicting a nasty wound on an opponent. Whenever this weapon caus</t>
        </is>
      </c>
    </row>
    <row r="611">
      <c r="A611" s="21" t="inlineStr">
        <is>
          <t>Mantis Blade: Monomolecular Edge</t>
        </is>
      </c>
      <c r="B611" s="21" t="inlineStr">
        <is>
          <t>Кибернетика</t>
        </is>
      </c>
      <c r="C611" s="21" t="inlineStr">
        <is>
          <t>Cyberware Enhancements</t>
        </is>
      </c>
      <c r="D611" s="21" t="inlineStr"/>
      <c r="E611" s="21" t="inlineStr"/>
      <c r="F611" s="31" t="n"/>
      <c r="G611" s="31" t="n"/>
      <c r="H611" s="31" t="n"/>
      <c r="I611" s="31" t="n"/>
      <c r="J611" s="31" t="n">
        <v>0</v>
      </c>
      <c r="K611" s="31" t="n">
        <v>0</v>
      </c>
      <c r="L611" s="31" t="n">
        <v>0</v>
      </c>
      <c r="M611" s="31" t="n">
        <v>0</v>
      </c>
      <c r="N611" s="21" t="inlineStr">
        <is>
          <t>Tech</t>
        </is>
      </c>
      <c r="O611" s="21" t="inlineStr"/>
      <c r="P611" s="21" t="inlineStr"/>
      <c r="Q611" s="21" t="inlineStr"/>
      <c r="R611" s="40" t="n">
        <v>1000</v>
      </c>
      <c r="S611" s="21" t="inlineStr">
        <is>
          <t>DL:MK2 3</t>
        </is>
      </c>
      <c r="T611" s="21" t="inlineStr">
        <is>
          <t>A monomolecular edge is affixed to the blade, making it a true mono-katana. Mantis Blade Cyberware Enhancement. The monomolecular edge allows the Mantis Blade to slice through lowlevel armor. Any damage dealt by this wea</t>
        </is>
      </c>
    </row>
    <row r="612">
      <c r="A612" s="21" t="inlineStr">
        <is>
          <t>Mantis Blade: Streamlined</t>
        </is>
      </c>
      <c r="B612" s="21" t="inlineStr">
        <is>
          <t>Кибернетика</t>
        </is>
      </c>
      <c r="C612" s="21" t="inlineStr">
        <is>
          <t>Cyberware Enhancements</t>
        </is>
      </c>
      <c r="D612" s="21" t="inlineStr"/>
      <c r="E612" s="21" t="inlineStr"/>
      <c r="F612" s="31" t="n"/>
      <c r="G612" s="31" t="n"/>
      <c r="H612" s="31" t="n"/>
      <c r="I612" s="31" t="n"/>
      <c r="J612" s="31" t="n">
        <v>0</v>
      </c>
      <c r="K612" s="31" t="n">
        <v>0</v>
      </c>
      <c r="L612" s="31" t="n">
        <v>0</v>
      </c>
      <c r="M612" s="31" t="n">
        <v>0</v>
      </c>
      <c r="N612" s="21" t="inlineStr">
        <is>
          <t>Tech</t>
        </is>
      </c>
      <c r="O612" s="21" t="inlineStr"/>
      <c r="P612" s="21" t="inlineStr"/>
      <c r="Q612" s="21" t="inlineStr"/>
      <c r="R612" s="40" t="n">
        <v>1000</v>
      </c>
      <c r="S612" s="21" t="inlineStr">
        <is>
          <t>DL:MK2 3</t>
        </is>
      </c>
      <c r="T612" s="21" t="inlineStr">
        <is>
          <t>The blade is slimmed down to reduce drag, making it perfect for the speedware-enhanced individual. Mantis Blade Cyberware Enhancement. Cyberneticallyenhanced users reap significant benefits from the lighter, faster blade</t>
        </is>
      </c>
    </row>
    <row r="613">
      <c r="A613" s="21" t="inlineStr">
        <is>
          <t>Monowire: Barbed Line</t>
        </is>
      </c>
      <c r="B613" s="21" t="inlineStr">
        <is>
          <t>Кибернетика</t>
        </is>
      </c>
      <c r="C613" s="21" t="inlineStr">
        <is>
          <t>Cyberware Enhancements</t>
        </is>
      </c>
      <c r="D613" s="21" t="inlineStr"/>
      <c r="E613" s="21" t="inlineStr"/>
      <c r="F613" s="31" t="n"/>
      <c r="G613" s="31" t="n"/>
      <c r="H613" s="31" t="n"/>
      <c r="I613" s="31" t="n"/>
      <c r="J613" s="31" t="n">
        <v>0</v>
      </c>
      <c r="K613" s="31" t="n">
        <v>0</v>
      </c>
      <c r="L613" s="31" t="n">
        <v>0</v>
      </c>
      <c r="M613" s="31" t="n">
        <v>0</v>
      </c>
      <c r="N613" s="21" t="inlineStr">
        <is>
          <t>Tech</t>
        </is>
      </c>
      <c r="O613" s="21" t="inlineStr"/>
      <c r="P613" s="21" t="inlineStr"/>
      <c r="Q613" s="21" t="inlineStr"/>
      <c r="R613" s="40" t="n">
        <v>1000</v>
      </c>
      <c r="S613" s="21" t="inlineStr">
        <is>
          <t>DL:MK2 3</t>
        </is>
      </c>
      <c r="T613" s="21" t="inlineStr">
        <is>
          <t xml:space="preserve">Flesh-ripping monomolecular barbs are implanted along the length of the wire. Monowire Cyberware Enhancement. Monomolecular barbs embedded in the wire enhance the possibility of inflicting a truly nasty injury. Whenever </t>
        </is>
      </c>
    </row>
    <row r="614">
      <c r="A614" s="21" t="inlineStr">
        <is>
          <t>Monowire: Electroshock</t>
        </is>
      </c>
      <c r="B614" s="21" t="inlineStr">
        <is>
          <t>Кибернетика</t>
        </is>
      </c>
      <c r="C614" s="21" t="inlineStr">
        <is>
          <t>Cyberware Enhancements</t>
        </is>
      </c>
      <c r="D614" s="21" t="inlineStr"/>
      <c r="E614" s="21" t="inlineStr"/>
      <c r="F614" s="31" t="n"/>
      <c r="G614" s="31" t="n"/>
      <c r="H614" s="31" t="n"/>
      <c r="I614" s="31" t="n"/>
      <c r="J614" s="31" t="n">
        <v>0</v>
      </c>
      <c r="K614" s="31" t="n">
        <v>0</v>
      </c>
      <c r="L614" s="31" t="n">
        <v>0</v>
      </c>
      <c r="M614" s="31" t="n">
        <v>0</v>
      </c>
      <c r="N614" s="21" t="inlineStr">
        <is>
          <t>Tech</t>
        </is>
      </c>
      <c r="O614" s="21" t="inlineStr"/>
      <c r="P614" s="21" t="inlineStr"/>
      <c r="Q614" s="21" t="inlineStr"/>
      <c r="R614" s="40" t="n">
        <v>500</v>
      </c>
      <c r="S614" s="21" t="inlineStr">
        <is>
          <t>DL:MK2 3</t>
        </is>
      </c>
      <c r="T614" s="21" t="inlineStr">
        <is>
          <t>Shock nodules are implanted into the wire, allowing it to be used in less-lethal applications. Monowire Cyberware Enhancement. Power pulses through the shock nodules of the wire, transforming it into a taser. If damage d</t>
        </is>
      </c>
    </row>
    <row r="615">
      <c r="A615" s="21" t="inlineStr">
        <is>
          <t>Monowire: Thermal-Bladed</t>
        </is>
      </c>
      <c r="B615" s="21" t="inlineStr">
        <is>
          <t>Кибернетика</t>
        </is>
      </c>
      <c r="C615" s="21" t="inlineStr">
        <is>
          <t>Cyberware Enhancements</t>
        </is>
      </c>
      <c r="D615" s="21" t="inlineStr"/>
      <c r="E615" s="21" t="inlineStr"/>
      <c r="F615" s="31" t="n"/>
      <c r="G615" s="31" t="n"/>
      <c r="H615" s="31" t="n"/>
      <c r="I615" s="31" t="n"/>
      <c r="J615" s="31" t="n">
        <v>0</v>
      </c>
      <c r="K615" s="31" t="n">
        <v>0</v>
      </c>
      <c r="L615" s="31" t="n">
        <v>0</v>
      </c>
      <c r="M615" s="31" t="n">
        <v>0</v>
      </c>
      <c r="N615" s="21" t="inlineStr">
        <is>
          <t>Tech</t>
        </is>
      </c>
      <c r="O615" s="21" t="inlineStr"/>
      <c r="P615" s="21" t="inlineStr"/>
      <c r="Q615" s="21" t="inlineStr"/>
      <c r="R615" s="40" t="n">
        <v>1000</v>
      </c>
      <c r="S615" s="21" t="inlineStr">
        <is>
          <t>DL:MK2 3</t>
        </is>
      </c>
      <c r="T615" s="21" t="inlineStr">
        <is>
          <t>The wire is studded with superheated blades to improve effectiveness against armor. Monowire Cyberware Enhancement. The superheated wire slices more cleanly through armor. Whenever this weapon ablates armor, it ablates 1</t>
        </is>
      </c>
    </row>
    <row r="616">
      <c r="A616" s="21" t="inlineStr">
        <is>
          <t>Drink (Dive Bar)</t>
        </is>
      </c>
      <c r="B616" s="21" t="inlineStr">
        <is>
          <t>Услуги и жильё</t>
        </is>
      </c>
      <c r="C616" s="21" t="inlineStr">
        <is>
          <t>Drinks</t>
        </is>
      </c>
      <c r="D616" s="21" t="inlineStr"/>
      <c r="E616" s="21" t="inlineStr"/>
      <c r="F616" s="31" t="n"/>
      <c r="G616" s="31" t="n"/>
      <c r="H616" s="31" t="n"/>
      <c r="I616" s="31" t="n"/>
      <c r="J616" s="31" t="n">
        <v>0</v>
      </c>
      <c r="K616" s="31" t="n">
        <v>0</v>
      </c>
      <c r="L616" s="31" t="n">
        <v>0</v>
      </c>
      <c r="M616" s="31" t="n">
        <v>0</v>
      </c>
      <c r="N616" s="21" t="inlineStr"/>
      <c r="O616" s="21" t="inlineStr"/>
      <c r="P616" s="21" t="inlineStr"/>
      <c r="Q616" s="21" t="inlineStr"/>
      <c r="R616" s="40" t="n">
        <v>10</v>
      </c>
      <c r="S616" s="21" t="inlineStr">
        <is>
          <t>CP:R 376</t>
        </is>
      </c>
      <c r="T616" s="21" t="inlineStr">
        <is>
          <t>Alcohol or virgin drinks in Red Dirt or other dive bar.</t>
        </is>
      </c>
    </row>
    <row r="617">
      <c r="A617" s="21" t="inlineStr">
        <is>
          <t>Drink (Good Bar)</t>
        </is>
      </c>
      <c r="B617" s="21" t="inlineStr">
        <is>
          <t>Услуги и жильё</t>
        </is>
      </c>
      <c r="C617" s="21" t="inlineStr">
        <is>
          <t>Drinks</t>
        </is>
      </c>
      <c r="D617" s="21" t="inlineStr"/>
      <c r="E617" s="21" t="inlineStr"/>
      <c r="F617" s="31" t="n"/>
      <c r="G617" s="31" t="n"/>
      <c r="H617" s="31" t="n"/>
      <c r="I617" s="31" t="n"/>
      <c r="J617" s="31" t="n">
        <v>0</v>
      </c>
      <c r="K617" s="31" t="n">
        <v>0</v>
      </c>
      <c r="L617" s="31" t="n">
        <v>0</v>
      </c>
      <c r="M617" s="31" t="n">
        <v>0</v>
      </c>
      <c r="N617" s="21" t="inlineStr"/>
      <c r="O617" s="21" t="inlineStr"/>
      <c r="P617" s="21" t="inlineStr"/>
      <c r="Q617" s="21" t="inlineStr"/>
      <c r="R617" s="40" t="n">
        <v>10</v>
      </c>
      <c r="S617" s="21" t="inlineStr">
        <is>
          <t>CP:R 376</t>
        </is>
      </c>
      <c r="T617" s="21" t="inlineStr">
        <is>
          <t>Alcohol or virgin drinks in Electric Orgasm or other good bar.</t>
        </is>
      </c>
    </row>
    <row r="618">
      <c r="A618" s="21" t="inlineStr">
        <is>
          <t>Drink (Excellent Bar)</t>
        </is>
      </c>
      <c r="B618" s="21" t="inlineStr">
        <is>
          <t>Услуги и жильё</t>
        </is>
      </c>
      <c r="C618" s="21" t="inlineStr">
        <is>
          <t>Drinks</t>
        </is>
      </c>
      <c r="D618" s="21" t="inlineStr"/>
      <c r="E618" s="21" t="inlineStr"/>
      <c r="F618" s="31" t="n"/>
      <c r="G618" s="31" t="n"/>
      <c r="H618" s="31" t="n"/>
      <c r="I618" s="31" t="n"/>
      <c r="J618" s="31" t="n">
        <v>0</v>
      </c>
      <c r="K618" s="31" t="n">
        <v>0</v>
      </c>
      <c r="L618" s="31" t="n">
        <v>0</v>
      </c>
      <c r="M618" s="31" t="n">
        <v>0</v>
      </c>
      <c r="N618" s="21" t="inlineStr"/>
      <c r="O618" s="21" t="inlineStr"/>
      <c r="P618" s="21" t="inlineStr"/>
      <c r="Q618" s="21" t="inlineStr"/>
      <c r="R618" s="40" t="n">
        <v>20</v>
      </c>
      <c r="S618" s="21" t="inlineStr">
        <is>
          <t>CP:R 376</t>
        </is>
      </c>
      <c r="T618" s="21" t="inlineStr">
        <is>
          <t>Alcohol or virgin drinks in Afterlife or other excellent bar.</t>
        </is>
      </c>
    </row>
    <row r="619">
      <c r="A619" s="21" t="inlineStr">
        <is>
          <t>Drink (Executive Bar)</t>
        </is>
      </c>
      <c r="B619" s="21" t="inlineStr">
        <is>
          <t>Услуги и жильё</t>
        </is>
      </c>
      <c r="C619" s="21" t="inlineStr">
        <is>
          <t>Drinks</t>
        </is>
      </c>
      <c r="D619" s="21" t="inlineStr"/>
      <c r="E619" s="21" t="inlineStr"/>
      <c r="F619" s="31" t="n"/>
      <c r="G619" s="31" t="n"/>
      <c r="H619" s="31" t="n"/>
      <c r="I619" s="31" t="n"/>
      <c r="J619" s="31" t="n">
        <v>0</v>
      </c>
      <c r="K619" s="31" t="n">
        <v>0</v>
      </c>
      <c r="L619" s="31" t="n">
        <v>0</v>
      </c>
      <c r="M619" s="31" t="n">
        <v>0</v>
      </c>
      <c r="N619" s="21" t="inlineStr"/>
      <c r="O619" s="21" t="inlineStr"/>
      <c r="P619" s="21" t="inlineStr"/>
      <c r="Q619" s="21" t="inlineStr"/>
      <c r="R619" s="40" t="n">
        <v>50</v>
      </c>
      <c r="S619" s="21" t="inlineStr">
        <is>
          <t>CP:R 376</t>
        </is>
      </c>
      <c r="T619" s="21" t="inlineStr">
        <is>
          <t>Alcohol or virgin drinks in Ambers or other executive bar.</t>
        </is>
      </c>
    </row>
    <row r="620">
      <c r="A620" s="21" t="inlineStr">
        <is>
          <t>Smash</t>
        </is>
      </c>
      <c r="B620" s="21" t="inlineStr">
        <is>
          <t>Услуги и жильё</t>
        </is>
      </c>
      <c r="C620" s="21" t="inlineStr">
        <is>
          <t>Drinks</t>
        </is>
      </c>
      <c r="D620" s="21" t="inlineStr"/>
      <c r="E620" s="21" t="inlineStr"/>
      <c r="F620" s="31" t="n"/>
      <c r="G620" s="31" t="n"/>
      <c r="H620" s="31" t="n"/>
      <c r="I620" s="31" t="n"/>
      <c r="J620" s="31" t="n">
        <v>0</v>
      </c>
      <c r="K620" s="31" t="n">
        <v>0</v>
      </c>
      <c r="L620" s="31" t="n">
        <v>0</v>
      </c>
      <c r="M620" s="31" t="n">
        <v>0</v>
      </c>
      <c r="N620" s="21" t="inlineStr"/>
      <c r="O620" s="21" t="inlineStr"/>
      <c r="P620" s="21" t="inlineStr"/>
      <c r="Q620" s="21" t="inlineStr"/>
      <c r="R620" s="40" t="n">
        <v>10</v>
      </c>
      <c r="S620" s="21" t="inlineStr">
        <is>
          <t>CP:R 357</t>
        </is>
      </c>
      <c r="T620" s="21" t="inlineStr">
        <is>
          <t>Primary Effect • Lasts 4 Hours. • Yellow, foamy, and sold in cans everywhere. • For the duration of the Primary Effect, the user feels euphoric, loose, happy, and ready to party. In game terms this gives the user +2 to t</t>
        </is>
      </c>
    </row>
    <row r="621">
      <c r="A621" s="21" t="inlineStr">
        <is>
          <t>Subdermal Pocket</t>
        </is>
      </c>
      <c r="B621" s="21" t="inlineStr">
        <is>
          <t>Кибернетика</t>
        </is>
      </c>
      <c r="C621" s="21" t="inlineStr">
        <is>
          <t>External</t>
        </is>
      </c>
      <c r="D621" s="21" t="inlineStr"/>
      <c r="E621" s="21" t="inlineStr"/>
      <c r="F621" s="31" t="n"/>
      <c r="G621" s="31" t="n"/>
      <c r="H621" s="31" t="n"/>
      <c r="I621" s="31" t="n"/>
      <c r="J621" s="31" t="n">
        <v>0</v>
      </c>
      <c r="K621" s="31" t="n">
        <v>0</v>
      </c>
      <c r="L621" s="31" t="n">
        <v>0</v>
      </c>
      <c r="M621" s="31" t="n">
        <v>3</v>
      </c>
      <c r="N621" s="21" t="inlineStr">
        <is>
          <t>Clinic</t>
        </is>
      </c>
      <c r="O621" s="21" t="inlineStr"/>
      <c r="P621" s="21" t="inlineStr"/>
      <c r="Q621" s="21" t="inlineStr"/>
      <c r="R621" s="40" t="n">
        <v>100</v>
      </c>
      <c r="S621" s="21" t="inlineStr">
        <is>
          <t>CP:R 364</t>
        </is>
      </c>
      <c r="T621" s="21" t="inlineStr">
        <is>
          <t>2"x4" (5cm x 10cm) space with a Realskinn™ zipper. Contents can be successfully concealed without a Check</t>
        </is>
      </c>
    </row>
    <row r="622">
      <c r="A622" s="21" t="inlineStr">
        <is>
          <t>Hidden Holster</t>
        </is>
      </c>
      <c r="B622" s="21" t="inlineStr">
        <is>
          <t>Кибернетика</t>
        </is>
      </c>
      <c r="C622" s="21" t="inlineStr">
        <is>
          <t>External</t>
        </is>
      </c>
      <c r="D622" s="21" t="inlineStr"/>
      <c r="E622" s="21" t="inlineStr"/>
      <c r="F622" s="31" t="n"/>
      <c r="G622" s="31" t="n"/>
      <c r="H622" s="31" t="n"/>
      <c r="I622" s="31" t="n"/>
      <c r="J622" s="31" t="n">
        <v>0</v>
      </c>
      <c r="K622" s="31" t="n">
        <v>0</v>
      </c>
      <c r="L622" s="31" t="n">
        <v>0</v>
      </c>
      <c r="M622" s="31" t="n">
        <v>7</v>
      </c>
      <c r="N622" s="21" t="inlineStr">
        <is>
          <t>Clinic</t>
        </is>
      </c>
      <c r="O622" s="21" t="inlineStr"/>
      <c r="P622" s="21" t="inlineStr"/>
      <c r="Q622" s="21" t="inlineStr"/>
      <c r="R622" s="40" t="n">
        <v>500</v>
      </c>
      <c r="S622" s="21" t="inlineStr">
        <is>
          <t>CP:R 364</t>
        </is>
      </c>
      <c r="T622" s="21" t="inlineStr">
        <is>
          <t>Holster inside the user's body can store a weapon already capable of concealment so that it can be successfully concealed without a roll. Weapon can be drawn from the hidden holster without an Action, as long as it is im</t>
        </is>
      </c>
    </row>
    <row r="623">
      <c r="A623" s="21" t="inlineStr">
        <is>
          <t>Skin Weave</t>
        </is>
      </c>
      <c r="B623" s="21" t="inlineStr">
        <is>
          <t>Кибернетика</t>
        </is>
      </c>
      <c r="C623" s="21" t="inlineStr">
        <is>
          <t>External</t>
        </is>
      </c>
      <c r="D623" s="21" t="inlineStr"/>
      <c r="E623" s="21" t="inlineStr"/>
      <c r="F623" s="31" t="n"/>
      <c r="G623" s="31" t="n"/>
      <c r="H623" s="31" t="n"/>
      <c r="I623" s="31" t="n"/>
      <c r="J623" s="31" t="n">
        <v>0</v>
      </c>
      <c r="K623" s="31" t="n">
        <v>0</v>
      </c>
      <c r="L623" s="31" t="n">
        <v>0</v>
      </c>
      <c r="M623" s="31" t="n">
        <v>7</v>
      </c>
      <c r="N623" s="21" t="inlineStr">
        <is>
          <t>Hospital</t>
        </is>
      </c>
      <c r="O623" s="21" t="inlineStr"/>
      <c r="P623" s="21" t="inlineStr"/>
      <c r="Q623" s="21" t="inlineStr"/>
      <c r="R623" s="40" t="n">
        <v>500</v>
      </c>
      <c r="S623" s="21" t="inlineStr">
        <is>
          <t>CP:R 364</t>
        </is>
      </c>
      <c r="T623" s="21" t="inlineStr">
        <is>
          <t>User's body and head are armored at SP7. Your SP in any location is determined by your highest source of SP in that location. Additionally, whenever your armor is ablated in a location, all your sources of SP in that loc</t>
        </is>
      </c>
    </row>
    <row r="624">
      <c r="A624" s="21" t="inlineStr">
        <is>
          <t>Subdermal Armor</t>
        </is>
      </c>
      <c r="B624" s="21" t="inlineStr">
        <is>
          <t>Кибернетика</t>
        </is>
      </c>
      <c r="C624" s="21" t="inlineStr">
        <is>
          <t>External</t>
        </is>
      </c>
      <c r="D624" s="21" t="inlineStr"/>
      <c r="E624" s="21" t="inlineStr"/>
      <c r="F624" s="31" t="n"/>
      <c r="G624" s="31" t="n"/>
      <c r="H624" s="31" t="n"/>
      <c r="I624" s="31" t="n"/>
      <c r="J624" s="31" t="n">
        <v>0</v>
      </c>
      <c r="K624" s="31" t="n">
        <v>0</v>
      </c>
      <c r="L624" s="31" t="n">
        <v>0</v>
      </c>
      <c r="M624" s="31" t="n">
        <v>14</v>
      </c>
      <c r="N624" s="21" t="inlineStr">
        <is>
          <t>Hospital</t>
        </is>
      </c>
      <c r="O624" s="21" t="inlineStr"/>
      <c r="P624" s="21" t="inlineStr"/>
      <c r="Q624" s="21" t="inlineStr"/>
      <c r="R624" s="40" t="n">
        <v>1000</v>
      </c>
      <c r="S624" s="21" t="inlineStr">
        <is>
          <t>CP:R 364</t>
        </is>
      </c>
      <c r="T624" s="21" t="inlineStr">
        <is>
          <t>User's body and head are armored at SP11. Your SP in any location is determined by your highest source of SP in that location. Additionally, whenever your armor is ablated in a location, all your sources of SP in that lo</t>
        </is>
      </c>
    </row>
    <row r="625">
      <c r="A625" s="21" t="inlineStr">
        <is>
          <t>Kiroshi Optishield</t>
        </is>
      </c>
      <c r="B625" s="21" t="inlineStr">
        <is>
          <t>Кибернетика</t>
        </is>
      </c>
      <c r="C625" s="21" t="inlineStr">
        <is>
          <t>External</t>
        </is>
      </c>
      <c r="D625" s="21" t="inlineStr"/>
      <c r="E625" s="21" t="inlineStr"/>
      <c r="F625" s="31" t="n"/>
      <c r="G625" s="31" t="n"/>
      <c r="H625" s="31" t="n"/>
      <c r="I625" s="31" t="n"/>
      <c r="J625" s="31" t="n">
        <v>0</v>
      </c>
      <c r="K625" s="31" t="n">
        <v>0</v>
      </c>
      <c r="L625" s="31" t="n">
        <v>0</v>
      </c>
      <c r="M625" s="31" t="n">
        <v>7</v>
      </c>
      <c r="N625" s="21" t="inlineStr">
        <is>
          <t>Clinic</t>
        </is>
      </c>
      <c r="O625" s="21" t="inlineStr"/>
      <c r="P625" s="21" t="inlineStr"/>
      <c r="Q625" s="21" t="inlineStr"/>
      <c r="R625" s="40" t="n">
        <v>500</v>
      </c>
      <c r="S625" s="21" t="inlineStr">
        <is>
          <t>DL:12Cy 4 · DGD 145 · IR3 86</t>
        </is>
      </c>
      <c r="T625" s="21" t="inlineStr">
        <is>
          <t>You never asked for this, but Kiroshi delivered anyway! The Kiroshi OptiShield tops the cyberfashion charts every year for their durability, practicality, and style. A simple and brief contortion of the facial muscles ex</t>
        </is>
      </c>
    </row>
    <row r="626">
      <c r="A626" s="21" t="inlineStr">
        <is>
          <t>Sycust FleshWeave</t>
        </is>
      </c>
      <c r="B626" s="21" t="inlineStr">
        <is>
          <t>Кибернетика</t>
        </is>
      </c>
      <c r="C626" s="21" t="inlineStr">
        <is>
          <t>External</t>
        </is>
      </c>
      <c r="D626" s="21" t="inlineStr"/>
      <c r="E626" s="21" t="inlineStr"/>
      <c r="F626" s="31" t="n"/>
      <c r="G626" s="31" t="n"/>
      <c r="H626" s="31" t="n"/>
      <c r="I626" s="31" t="n"/>
      <c r="J626" s="31" t="n">
        <v>0</v>
      </c>
      <c r="K626" s="31" t="n">
        <v>0</v>
      </c>
      <c r="L626" s="31" t="n">
        <v>0</v>
      </c>
      <c r="M626" s="31" t="n">
        <v>7</v>
      </c>
      <c r="N626" s="21" t="inlineStr">
        <is>
          <t>Hospital</t>
        </is>
      </c>
      <c r="O626" s="21" t="inlineStr"/>
      <c r="P626" s="21" t="inlineStr"/>
      <c r="Q626" s="21" t="inlineStr"/>
      <c r="R626" s="40" t="n">
        <v>1000</v>
      </c>
      <c r="S626" s="21" t="inlineStr">
        <is>
          <t>DL:12Cy 5 · DGD 146 · IR3 87</t>
        </is>
      </c>
      <c r="T626" s="21" t="inlineStr">
        <is>
          <t>You know the drill. You pissed off your Input/Output. They shot you while you were showering, and now you’ve got to spend the whole day doing nothing while your Skinweave repairs itself. Well, not anymore, choomba! The h</t>
        </is>
      </c>
    </row>
    <row r="627">
      <c r="A627" s="21" t="inlineStr">
        <is>
          <t>External Vidscreen</t>
        </is>
      </c>
      <c r="B627" s="21" t="inlineStr">
        <is>
          <t>Кибернетика</t>
        </is>
      </c>
      <c r="C627" s="21" t="inlineStr">
        <is>
          <t>External</t>
        </is>
      </c>
      <c r="D627" s="21" t="inlineStr"/>
      <c r="E627" s="21" t="inlineStr"/>
      <c r="F627" s="31" t="n"/>
      <c r="G627" s="31" t="n"/>
      <c r="H627" s="31" t="n"/>
      <c r="I627" s="31" t="n"/>
      <c r="J627" s="31" t="n">
        <v>0</v>
      </c>
      <c r="K627" s="31" t="n">
        <v>0</v>
      </c>
      <c r="L627" s="31" t="n">
        <v>0</v>
      </c>
      <c r="M627" s="31" t="n">
        <v>7</v>
      </c>
      <c r="N627" s="21" t="inlineStr">
        <is>
          <t>Hospital</t>
        </is>
      </c>
      <c r="O627" s="21" t="inlineStr"/>
      <c r="P627" s="21" t="inlineStr"/>
      <c r="Q627" s="21" t="inlineStr"/>
      <c r="R627" s="40" t="n">
        <v>100</v>
      </c>
      <c r="S627" s="21" t="inlineStr">
        <is>
          <t>DL:MHC 2 · IR3 46</t>
        </is>
      </c>
      <c r="T627" s="21" t="inlineStr">
        <is>
          <t>You’re gonna be the center of attention when you’ve got the big game blaring on your chest, and you’re walking down the street. Get an arm mounted external vidscreen for your Internal Agent, and you’ve got the best of bo</t>
        </is>
      </c>
    </row>
    <row r="628">
      <c r="A628" s="21" t="inlineStr">
        <is>
          <t>Combat Tail</t>
        </is>
      </c>
      <c r="B628" s="21" t="inlineStr">
        <is>
          <t>Кибернетика</t>
        </is>
      </c>
      <c r="C628" s="21" t="inlineStr">
        <is>
          <t>External</t>
        </is>
      </c>
      <c r="D628" s="21" t="inlineStr"/>
      <c r="E628" s="21" t="inlineStr"/>
      <c r="F628" s="31" t="n"/>
      <c r="G628" s="31" t="n"/>
      <c r="H628" s="31" t="n"/>
      <c r="I628" s="31" t="n"/>
      <c r="J628" s="31" t="n">
        <v>0</v>
      </c>
      <c r="K628" s="31" t="n">
        <v>0</v>
      </c>
      <c r="L628" s="31" t="n">
        <v>0</v>
      </c>
      <c r="M628" s="31" t="n">
        <v>14</v>
      </c>
      <c r="N628" s="21" t="inlineStr">
        <is>
          <t>Hospital</t>
        </is>
      </c>
      <c r="O628" s="21" t="inlineStr"/>
      <c r="P628" s="21" t="inlineStr"/>
      <c r="Q628" s="21" t="inlineStr"/>
      <c r="R628" s="40" t="n">
        <v>1000</v>
      </c>
      <c r="S628" s="21" t="inlineStr">
        <is>
          <t>IR2 72</t>
        </is>
      </c>
      <c r="T628" s="21" t="inlineStr">
        <is>
          <t>External Body Cyberware. Requires 2 Option Slots. User’s spine is extended to connect the nerves to a weaponized tail module. Requires Neural Link. The tail functions as a Heavy Melee Weapon. At the GM’s discretion, a Ch</t>
        </is>
      </c>
    </row>
    <row r="629">
      <c r="A629" s="21" t="inlineStr">
        <is>
          <t>Combat Jaw</t>
        </is>
      </c>
      <c r="B629" s="21" t="inlineStr">
        <is>
          <t>Кибернетика</t>
        </is>
      </c>
      <c r="C629" s="21" t="inlineStr">
        <is>
          <t>External</t>
        </is>
      </c>
      <c r="D629" s="21" t="inlineStr"/>
      <c r="E629" s="21" t="inlineStr"/>
      <c r="F629" s="31" t="n"/>
      <c r="G629" s="31" t="n"/>
      <c r="H629" s="31" t="n"/>
      <c r="I629" s="31" t="n"/>
      <c r="J629" s="31" t="n">
        <v>0</v>
      </c>
      <c r="K629" s="31" t="n">
        <v>0</v>
      </c>
      <c r="L629" s="31" t="n">
        <v>0</v>
      </c>
      <c r="M629" s="31" t="n">
        <v>14</v>
      </c>
      <c r="N629" s="21" t="inlineStr">
        <is>
          <t>Hospital</t>
        </is>
      </c>
      <c r="O629" s="21" t="inlineStr"/>
      <c r="P629" s="21" t="inlineStr"/>
      <c r="Q629" s="21" t="inlineStr"/>
      <c r="R629" s="40" t="n">
        <v>500</v>
      </c>
      <c r="S629" s="21" t="inlineStr">
        <is>
          <t>IR2 72 · DGD 145 · DL:YNBF 12 · IR5 82</t>
        </is>
      </c>
      <c r="T629" s="21" t="inlineStr">
        <is>
          <t>External Body Cyberware. Requires 2 Option Slots. User’s jaw is replaced with a sizable hydraulic jaw capable of delivering devastating bite force with a two rows of reinforced teeth. The Combat Jaw functions as a Very H</t>
        </is>
      </c>
    </row>
    <row r="630">
      <c r="A630" s="21" t="inlineStr">
        <is>
          <t>FBC Brimstone Coating</t>
        </is>
      </c>
      <c r="B630" s="21" t="inlineStr">
        <is>
          <t>Кибернетика</t>
        </is>
      </c>
      <c r="C630" s="21" t="inlineStr">
        <is>
          <t>External</t>
        </is>
      </c>
      <c r="D630" s="21" t="inlineStr"/>
      <c r="E630" s="21" t="inlineStr"/>
      <c r="F630" s="31" t="n"/>
      <c r="G630" s="31" t="n"/>
      <c r="H630" s="31" t="n"/>
      <c r="I630" s="31" t="n"/>
      <c r="J630" s="31" t="n">
        <v>0</v>
      </c>
      <c r="K630" s="31" t="n">
        <v>0</v>
      </c>
      <c r="L630" s="31" t="n">
        <v>0</v>
      </c>
      <c r="M630" s="31" t="n">
        <v>7</v>
      </c>
      <c r="N630" s="21" t="inlineStr">
        <is>
          <t>Hospital</t>
        </is>
      </c>
      <c r="O630" s="21" t="inlineStr"/>
      <c r="P630" s="21" t="inlineStr"/>
      <c r="Q630" s="21" t="inlineStr"/>
      <c r="R630" s="40" t="n">
        <v>1000</v>
      </c>
      <c r="S630" s="21" t="inlineStr">
        <is>
          <t>IR3 106</t>
        </is>
      </c>
      <c r="T630" s="21" t="inlineStr">
        <is>
          <t>A nanomachine-supported ceramic coating developed by Dynalar in partnership with Fire Brand. It brings new meaning to the expression “walking through fire.” External Body Cyberware. May only be installed in a Full Body C</t>
        </is>
      </c>
    </row>
    <row r="631">
      <c r="A631" s="21" t="inlineStr">
        <is>
          <t>FBC EMP Coating</t>
        </is>
      </c>
      <c r="B631" s="21" t="inlineStr">
        <is>
          <t>Кибернетика</t>
        </is>
      </c>
      <c r="C631" s="21" t="inlineStr">
        <is>
          <t>External</t>
        </is>
      </c>
      <c r="D631" s="21" t="inlineStr"/>
      <c r="E631" s="21" t="inlineStr"/>
      <c r="F631" s="31" t="n"/>
      <c r="G631" s="31" t="n"/>
      <c r="H631" s="31" t="n"/>
      <c r="I631" s="31" t="n"/>
      <c r="J631" s="31" t="n">
        <v>0</v>
      </c>
      <c r="K631" s="31" t="n">
        <v>0</v>
      </c>
      <c r="L631" s="31" t="n">
        <v>0</v>
      </c>
      <c r="M631" s="31" t="n">
        <v>7</v>
      </c>
      <c r="N631" s="21" t="inlineStr">
        <is>
          <t>Hospital</t>
        </is>
      </c>
      <c r="O631" s="21" t="inlineStr"/>
      <c r="P631" s="21" t="inlineStr"/>
      <c r="Q631" s="21" t="inlineStr"/>
      <c r="R631" s="40" t="n">
        <v>1000</v>
      </c>
      <c r="S631" s="21" t="inlineStr">
        <is>
          <t>IR3 106</t>
        </is>
      </c>
      <c r="T631" s="21" t="inlineStr">
        <is>
          <t>A specially designed nanomachine coating that absorbs microwaves. The system is sacrificial, requiring redundancy to ensure uptime if expecting multiple EMP blasts. External Body Cyberware. May only be installed in aFull</t>
        </is>
      </c>
    </row>
    <row r="632">
      <c r="A632" s="21" t="inlineStr">
        <is>
          <t>FBC Gemini Sculpt</t>
        </is>
      </c>
      <c r="B632" s="21" t="inlineStr">
        <is>
          <t>Кибернетика</t>
        </is>
      </c>
      <c r="C632" s="21" t="inlineStr">
        <is>
          <t>External</t>
        </is>
      </c>
      <c r="D632" s="21" t="inlineStr"/>
      <c r="E632" s="21" t="inlineStr"/>
      <c r="F632" s="31" t="n"/>
      <c r="G632" s="31" t="n"/>
      <c r="H632" s="31" t="n"/>
      <c r="I632" s="31" t="n"/>
      <c r="J632" s="31" t="n">
        <v>0</v>
      </c>
      <c r="K632" s="31" t="n">
        <v>0</v>
      </c>
      <c r="L632" s="31" t="n">
        <v>0</v>
      </c>
      <c r="M632" s="31" t="n">
        <v>0</v>
      </c>
      <c r="N632" s="21" t="inlineStr">
        <is>
          <t>Hospital</t>
        </is>
      </c>
      <c r="O632" s="21" t="inlineStr"/>
      <c r="P632" s="21" t="inlineStr"/>
      <c r="Q632" s="21" t="inlineStr"/>
      <c r="R632" s="40" t="n">
        <v>1000</v>
      </c>
      <c r="S632" s="21" t="inlineStr">
        <is>
          <t>IR3 106</t>
        </is>
      </c>
      <c r="T632" s="21" t="inlineStr">
        <is>
          <t>The FBC Gemini Sculpt reformats an FBC body to be similar in shape to a baseline human form, then surrounds it with a thin shell covered in Realskin™. By developing the covering to be fully cross-compatible, Raven Microc</t>
        </is>
      </c>
    </row>
    <row r="633">
      <c r="A633" s="21" t="inlineStr">
        <is>
          <t>FBC Integrated Bodyweight</t>
        </is>
      </c>
      <c r="B633" s="21" t="inlineStr">
        <is>
          <t>Кибернетика</t>
        </is>
      </c>
      <c r="C633" s="21" t="inlineStr">
        <is>
          <t>External</t>
        </is>
      </c>
      <c r="D633" s="21" t="inlineStr"/>
      <c r="E633" s="21" t="inlineStr"/>
      <c r="F633" s="31" t="n"/>
      <c r="G633" s="31" t="n"/>
      <c r="H633" s="31" t="n"/>
      <c r="I633" s="31" t="n"/>
      <c r="J633" s="31" t="n">
        <v>0</v>
      </c>
      <c r="K633" s="31" t="n">
        <v>0</v>
      </c>
      <c r="L633" s="31" t="n">
        <v>0</v>
      </c>
      <c r="M633" s="31" t="n">
        <v>7</v>
      </c>
      <c r="N633" s="21" t="inlineStr">
        <is>
          <t>Hospital</t>
        </is>
      </c>
      <c r="O633" s="21" t="inlineStr"/>
      <c r="P633" s="21" t="inlineStr"/>
      <c r="Q633" s="21" t="inlineStr"/>
      <c r="R633" s="40" t="n">
        <v>1000</v>
      </c>
      <c r="S633" s="21" t="inlineStr">
        <is>
          <t>IR3 106</t>
        </is>
      </c>
      <c r="T633" s="21" t="inlineStr">
        <is>
          <t>By covering the body in cyberdeck support electronics, a more perfect Netrunner can be born. Sure, it’s expensive, but in a NET Architecture, every extra bonus matters. External Body Cyberware. May only be installed in a</t>
        </is>
      </c>
    </row>
    <row r="634">
      <c r="A634" s="21" t="inlineStr">
        <is>
          <t>FBC Chameleon Coating</t>
        </is>
      </c>
      <c r="B634" s="21" t="inlineStr">
        <is>
          <t>Кибернетика</t>
        </is>
      </c>
      <c r="C634" s="21" t="inlineStr">
        <is>
          <t>External</t>
        </is>
      </c>
      <c r="D634" s="21" t="inlineStr"/>
      <c r="E634" s="21" t="inlineStr"/>
      <c r="F634" s="31" t="n"/>
      <c r="G634" s="31" t="n"/>
      <c r="H634" s="31" t="n"/>
      <c r="I634" s="31" t="n"/>
      <c r="J634" s="31" t="n">
        <v>0</v>
      </c>
      <c r="K634" s="31" t="n">
        <v>0</v>
      </c>
      <c r="L634" s="31" t="n">
        <v>0</v>
      </c>
      <c r="M634" s="31" t="n">
        <v>7</v>
      </c>
      <c r="N634" s="21" t="inlineStr">
        <is>
          <t>Hospital</t>
        </is>
      </c>
      <c r="O634" s="21" t="inlineStr"/>
      <c r="P634" s="21" t="inlineStr"/>
      <c r="Q634" s="21" t="inlineStr"/>
      <c r="R634" s="40" t="n">
        <v>1000</v>
      </c>
      <c r="S634" s="21" t="inlineStr">
        <is>
          <t>IR3 106 · DL:YNBF 12 · IR5 82</t>
        </is>
      </c>
      <c r="T634" s="21" t="inlineStr">
        <is>
          <t>A light-reactive nanomachine coating developed for Militech by [REDACTED]. This represents the forefront of personal stealth imaging technology. External Body Cyberware. May only be installed in a Full Body Conversion. W</t>
        </is>
      </c>
    </row>
    <row r="635">
      <c r="A635" s="21" t="inlineStr">
        <is>
          <t>EL-F4-NT Linear Frame</t>
        </is>
      </c>
      <c r="B635" s="21" t="inlineStr">
        <is>
          <t>Снаряжение</t>
        </is>
      </c>
      <c r="C635" s="21" t="inlineStr">
        <is>
          <t>External · Linear Frame</t>
        </is>
      </c>
      <c r="D635" s="21" t="inlineStr"/>
      <c r="E635" s="21" t="inlineStr"/>
      <c r="F635" s="31" t="n"/>
      <c r="G635" s="31" t="n"/>
      <c r="H635" s="31" t="n"/>
      <c r="I635" s="31" t="n"/>
      <c r="J635" s="31" t="n">
        <v>0</v>
      </c>
      <c r="K635" s="31" t="n">
        <v>0</v>
      </c>
      <c r="L635" s="31" t="n">
        <v>0</v>
      </c>
      <c r="M635" s="31" t="n">
        <v>0</v>
      </c>
      <c r="N635" s="21" t="inlineStr"/>
      <c r="O635" s="21" t="inlineStr"/>
      <c r="P635" s="21" t="inlineStr"/>
      <c r="Q635" s="21" t="inlineStr"/>
      <c r="R635" s="40" t="n">
        <v>5000</v>
      </c>
      <c r="S635" s="21" t="inlineStr">
        <is>
          <t>BC 55</t>
        </is>
      </c>
      <c r="T635" s="21" t="inlineStr">
        <is>
          <t>Zhirafa’s EL-F4-NT is a linear frame designed for use by anyone and not just those already wired up. Instead of using Interface Plugs for operation, manual controls line the forearm and thigh sections of the suit, giving</t>
        </is>
      </c>
    </row>
    <row r="636">
      <c r="A636" s="21" t="inlineStr">
        <is>
          <t>Fūma Kotarō Linear Frame</t>
        </is>
      </c>
      <c r="B636" s="21" t="inlineStr">
        <is>
          <t>Снаряжение</t>
        </is>
      </c>
      <c r="C636" s="21" t="inlineStr">
        <is>
          <t>External · Linear Frame</t>
        </is>
      </c>
      <c r="D636" s="21" t="inlineStr"/>
      <c r="E636" s="21" t="inlineStr"/>
      <c r="F636" s="31" t="n"/>
      <c r="G636" s="31" t="n"/>
      <c r="H636" s="31" t="n"/>
      <c r="I636" s="31" t="n"/>
      <c r="J636" s="31" t="n">
        <v>0</v>
      </c>
      <c r="K636" s="31" t="n">
        <v>0</v>
      </c>
      <c r="L636" s="31" t="n">
        <v>0</v>
      </c>
      <c r="M636" s="31" t="n">
        <v>0</v>
      </c>
      <c r="N636" s="21" t="inlineStr"/>
      <c r="O636" s="21" t="inlineStr"/>
      <c r="P636" s="21" t="inlineStr"/>
      <c r="Q636" s="21" t="inlineStr"/>
      <c r="R636" s="40" t="n">
        <v>5000</v>
      </c>
      <c r="S636" s="21" t="inlineStr">
        <is>
          <t>BC 52</t>
        </is>
      </c>
      <c r="T636" s="21" t="inlineStr">
        <is>
          <t xml:space="preserve">Of all the legitimate investments made by the Yakuza over the last century, the Fūma Kotarō is by far one of the most deadly. Designed for stealth operations, the micro-hydraulics of the frame are completely silent. The </t>
        </is>
      </c>
    </row>
    <row r="637">
      <c r="A637" s="21" t="inlineStr">
        <is>
          <t>LF-001 SWAT Linear Frame</t>
        </is>
      </c>
      <c r="B637" s="21" t="inlineStr">
        <is>
          <t>Снаряжение</t>
        </is>
      </c>
      <c r="C637" s="21" t="inlineStr">
        <is>
          <t>External · Linear Frame</t>
        </is>
      </c>
      <c r="D637" s="21" t="inlineStr"/>
      <c r="E637" s="21" t="inlineStr"/>
      <c r="F637" s="31" t="n"/>
      <c r="G637" s="31" t="n"/>
      <c r="H637" s="31" t="n"/>
      <c r="I637" s="31" t="n"/>
      <c r="J637" s="31" t="n">
        <v>0</v>
      </c>
      <c r="K637" s="31" t="n">
        <v>0</v>
      </c>
      <c r="L637" s="31" t="n">
        <v>0</v>
      </c>
      <c r="M637" s="31" t="n">
        <v>0</v>
      </c>
      <c r="N637" s="21" t="inlineStr"/>
      <c r="O637" s="21" t="inlineStr"/>
      <c r="P637" s="21" t="inlineStr"/>
      <c r="Q637" s="21" t="inlineStr"/>
      <c r="R637" s="40" t="n">
        <v>5000</v>
      </c>
      <c r="S637" s="21" t="inlineStr">
        <is>
          <t>BC 53</t>
        </is>
      </c>
      <c r="T637" s="21" t="inlineStr">
        <is>
          <t>The first major security product to hit the international market from Polska CyberTechnologies, a Polish cybertech and security company, was the LF-001 SWAT, a tactical linear frame designed for quick insertion and mobil</t>
        </is>
      </c>
    </row>
    <row r="638">
      <c r="A638" s="21" t="inlineStr">
        <is>
          <t>Linear Frame ∑ (Sigma)</t>
        </is>
      </c>
      <c r="B638" s="21" t="inlineStr">
        <is>
          <t>Снаряжение</t>
        </is>
      </c>
      <c r="C638" s="21" t="inlineStr">
        <is>
          <t>External · Linear Frame</t>
        </is>
      </c>
      <c r="D638" s="21" t="inlineStr"/>
      <c r="E638" s="21" t="inlineStr"/>
      <c r="F638" s="31" t="n"/>
      <c r="G638" s="31" t="n"/>
      <c r="H638" s="31" t="n"/>
      <c r="I638" s="31" t="n"/>
      <c r="J638" s="31" t="n">
        <v>0</v>
      </c>
      <c r="K638" s="31" t="n">
        <v>0</v>
      </c>
      <c r="L638" s="31" t="n">
        <v>0</v>
      </c>
      <c r="M638" s="31" t="n">
        <v>0</v>
      </c>
      <c r="N638" s="21" t="inlineStr"/>
      <c r="O638" s="21" t="inlineStr"/>
      <c r="P638" s="21" t="inlineStr"/>
      <c r="Q638" s="21" t="inlineStr"/>
      <c r="R638" s="40" t="n">
        <v>1000</v>
      </c>
      <c r="S638" s="21" t="inlineStr">
        <is>
          <t>CP:R 354</t>
        </is>
      </c>
      <c r="T638" s="21" t="inlineStr">
        <is>
          <t>Powered exoskeleton,giving the user tremendous strength. • User increases their BODY to 12 while plugged into the frame. This cannot increase the user's BODY to 13 or higher. This increase in BODY does not increase the u</t>
        </is>
      </c>
    </row>
    <row r="639">
      <c r="A639" s="21" t="inlineStr">
        <is>
          <t>Linear Frame ß (Beta)</t>
        </is>
      </c>
      <c r="B639" s="21" t="inlineStr">
        <is>
          <t>Снаряжение</t>
        </is>
      </c>
      <c r="C639" s="21" t="inlineStr">
        <is>
          <t>External · Linear Frame</t>
        </is>
      </c>
      <c r="D639" s="21" t="inlineStr"/>
      <c r="E639" s="21" t="inlineStr"/>
      <c r="F639" s="31" t="n"/>
      <c r="G639" s="31" t="n"/>
      <c r="H639" s="31" t="n"/>
      <c r="I639" s="31" t="n"/>
      <c r="J639" s="31" t="n">
        <v>0</v>
      </c>
      <c r="K639" s="31" t="n">
        <v>0</v>
      </c>
      <c r="L639" s="31" t="n">
        <v>0</v>
      </c>
      <c r="M639" s="31" t="n">
        <v>0</v>
      </c>
      <c r="N639" s="21" t="inlineStr"/>
      <c r="O639" s="21" t="inlineStr"/>
      <c r="P639" s="21" t="inlineStr"/>
      <c r="Q639" s="21" t="inlineStr"/>
      <c r="R639" s="40" t="n">
        <v>5000</v>
      </c>
      <c r="S639" s="21" t="inlineStr">
        <is>
          <t>CP:R 354</t>
        </is>
      </c>
      <c r="T639" s="21" t="inlineStr">
        <is>
          <t>Powered exoskeleton, giving the user even more tremendous strength. • User increases their BODY to 14 while plugged into the frame. This cannot increase the user's BODY to 15 or higher. This increase in BODY does not inc</t>
        </is>
      </c>
    </row>
    <row r="640">
      <c r="A640" s="21" t="inlineStr">
        <is>
          <t>Linear Frame Ω (Omega)</t>
        </is>
      </c>
      <c r="B640" s="21" t="inlineStr">
        <is>
          <t>Снаряжение</t>
        </is>
      </c>
      <c r="C640" s="21" t="inlineStr">
        <is>
          <t>External · Linear Frame</t>
        </is>
      </c>
      <c r="D640" s="21" t="inlineStr"/>
      <c r="E640" s="21" t="inlineStr"/>
      <c r="F640" s="31" t="n"/>
      <c r="G640" s="31" t="n"/>
      <c r="H640" s="31" t="n"/>
      <c r="I640" s="31" t="n"/>
      <c r="J640" s="31" t="n">
        <v>0</v>
      </c>
      <c r="K640" s="31" t="n">
        <v>0</v>
      </c>
      <c r="L640" s="31" t="n">
        <v>0</v>
      </c>
      <c r="M640" s="31" t="n">
        <v>0</v>
      </c>
      <c r="N640" s="21" t="inlineStr"/>
      <c r="O640" s="21" t="inlineStr"/>
      <c r="P640" s="21" t="inlineStr"/>
      <c r="Q640" s="21" t="inlineStr"/>
      <c r="R640" s="40" t="n">
        <v>10000</v>
      </c>
      <c r="S640" s="21" t="inlineStr">
        <is>
          <t>IR3 108 · IR5 143</t>
        </is>
      </c>
      <c r="T640" s="21" t="inlineStr">
        <is>
          <t>A perfected powered exoskeleton that grants the user ultimate strength. Gear. User increases their BODY to 16 while plugged into the frame. This cannot increase the user’s BODY to 17 or higher. This increase in BODY does</t>
        </is>
      </c>
    </row>
    <row r="641">
      <c r="A641" s="21" t="inlineStr">
        <is>
          <t>Vermilion Linear Frame</t>
        </is>
      </c>
      <c r="B641" s="21" t="inlineStr">
        <is>
          <t>Снаряжение</t>
        </is>
      </c>
      <c r="C641" s="21" t="inlineStr">
        <is>
          <t>External · Linear Frame</t>
        </is>
      </c>
      <c r="D641" s="21" t="inlineStr"/>
      <c r="E641" s="21" t="inlineStr"/>
      <c r="F641" s="31" t="n"/>
      <c r="G641" s="31" t="n"/>
      <c r="H641" s="31" t="n"/>
      <c r="I641" s="31" t="n"/>
      <c r="J641" s="31" t="n">
        <v>0</v>
      </c>
      <c r="K641" s="31" t="n">
        <v>0</v>
      </c>
      <c r="L641" s="31" t="n">
        <v>0</v>
      </c>
      <c r="M641" s="31" t="n">
        <v>0</v>
      </c>
      <c r="N641" s="21" t="inlineStr"/>
      <c r="O641" s="21" t="inlineStr"/>
      <c r="P641" s="21" t="inlineStr"/>
      <c r="Q641" s="21" t="inlineStr"/>
      <c r="R641" s="40" t="n">
        <v>5000</v>
      </c>
      <c r="S641" s="21" t="inlineStr">
        <is>
          <t>BC 54</t>
        </is>
      </c>
      <c r="T641" s="21" t="inlineStr">
        <is>
          <t>Wyzard Technologies’ only contribution to the linear frame market is their sleek Vermilion Linear Frame (VLF). To make the VLF unique, Wyzard Technologies’ engineers cleverly placed the internals, opting to locate the VL</t>
        </is>
      </c>
    </row>
    <row r="642">
      <c r="A642" s="21" t="inlineStr">
        <is>
          <t>Heuristic Health Monitor</t>
        </is>
      </c>
      <c r="B642" s="21" t="inlineStr">
        <is>
          <t>Кибернетика</t>
        </is>
      </c>
      <c r="C642" s="21" t="inlineStr">
        <is>
          <t>Fashionware</t>
        </is>
      </c>
      <c r="D642" s="21" t="inlineStr"/>
      <c r="E642" s="21" t="inlineStr"/>
      <c r="F642" s="31" t="n"/>
      <c r="G642" s="31" t="n"/>
      <c r="H642" s="31" t="n"/>
      <c r="I642" s="31" t="n"/>
      <c r="J642" s="31" t="n">
        <v>0</v>
      </c>
      <c r="K642" s="31" t="n">
        <v>0</v>
      </c>
      <c r="L642" s="31" t="n">
        <v>0</v>
      </c>
      <c r="M642" s="31" t="n">
        <v>0</v>
      </c>
      <c r="N642" s="21" t="inlineStr">
        <is>
          <t>Clinic</t>
        </is>
      </c>
      <c r="O642" s="21" t="inlineStr"/>
      <c r="P642" s="21" t="inlineStr"/>
      <c r="Q642" s="21" t="inlineStr"/>
      <c r="R642" s="40" t="n">
        <v>500</v>
      </c>
      <c r="S642" s="21" t="inlineStr">
        <is>
          <t>BC 19 · IR2 73</t>
        </is>
      </c>
      <c r="T642" s="21" t="inlineStr">
        <is>
          <t>You work out. You eat well. You buy all the right muscle-enhancing chrome. Your body is a temple and you pray at it regularly. What’s the best way to show the world you’re better than everyone else because you’re so heal</t>
        </is>
      </c>
    </row>
    <row r="643">
      <c r="A643" s="21" t="inlineStr">
        <is>
          <t>EMP Threading</t>
        </is>
      </c>
      <c r="B643" s="21" t="inlineStr">
        <is>
          <t>Кибернетика</t>
        </is>
      </c>
      <c r="C643" s="21" t="inlineStr">
        <is>
          <t>Fashionware</t>
        </is>
      </c>
      <c r="D643" s="21" t="inlineStr"/>
      <c r="E643" s="21" t="inlineStr"/>
      <c r="F643" s="31" t="n"/>
      <c r="G643" s="31" t="n"/>
      <c r="H643" s="31" t="n"/>
      <c r="I643" s="31" t="n"/>
      <c r="J643" s="31" t="n">
        <v>0</v>
      </c>
      <c r="K643" s="31" t="n">
        <v>0</v>
      </c>
      <c r="L643" s="31" t="n">
        <v>0</v>
      </c>
      <c r="M643" s="31" t="n">
        <v>0</v>
      </c>
      <c r="N643" s="21" t="inlineStr">
        <is>
          <t>Mall</t>
        </is>
      </c>
      <c r="O643" s="21" t="inlineStr"/>
      <c r="P643" s="21" t="inlineStr"/>
      <c r="Q643" s="21" t="inlineStr"/>
      <c r="R643" s="40" t="n">
        <v>10</v>
      </c>
      <c r="S643" s="21" t="inlineStr">
        <is>
          <t>CP:R 358</t>
        </is>
      </c>
      <c r="T643" s="21" t="inlineStr">
        <is>
          <t>Popularized by the media sensation UR, these thin silver lines run in circuit-like patterns across the body. Many people believe they act as a "Faraday cage" to protect you from radiation and EMP effects but so far there</t>
        </is>
      </c>
    </row>
    <row r="644">
      <c r="A644" s="21" t="inlineStr">
        <is>
          <t>Biomonitor</t>
        </is>
      </c>
      <c r="B644" s="21" t="inlineStr">
        <is>
          <t>Кибернетика</t>
        </is>
      </c>
      <c r="C644" s="21" t="inlineStr">
        <is>
          <t>Fashionware</t>
        </is>
      </c>
      <c r="D644" s="21" t="inlineStr"/>
      <c r="E644" s="21" t="inlineStr"/>
      <c r="F644" s="31" t="n"/>
      <c r="G644" s="31" t="n"/>
      <c r="H644" s="31" t="n"/>
      <c r="I644" s="31" t="n"/>
      <c r="J644" s="31" t="n">
        <v>0</v>
      </c>
      <c r="K644" s="31" t="n">
        <v>0</v>
      </c>
      <c r="L644" s="31" t="n">
        <v>0</v>
      </c>
      <c r="M644" s="31" t="n">
        <v>0</v>
      </c>
      <c r="N644" s="21" t="inlineStr">
        <is>
          <t>Mall</t>
        </is>
      </c>
      <c r="O644" s="21" t="inlineStr"/>
      <c r="P644" s="21" t="inlineStr"/>
      <c r="Q644" s="21" t="inlineStr"/>
      <c r="R644" s="40" t="n">
        <v>100</v>
      </c>
      <c r="S644" s="21" t="inlineStr">
        <is>
          <t>CP:R 358</t>
        </is>
      </c>
      <c r="T644" s="21" t="inlineStr">
        <is>
          <t>Subdermal implant which generates a constant LED readout of pulse, temperature, respiration, blood sugar, etc. You can link your Biomonitor to your Agent to allow it to track your wellness.</t>
        </is>
      </c>
    </row>
    <row r="645">
      <c r="A645" s="21" t="inlineStr">
        <is>
          <t>Chemskin</t>
        </is>
      </c>
      <c r="B645" s="21" t="inlineStr">
        <is>
          <t>Кибернетика</t>
        </is>
      </c>
      <c r="C645" s="21" t="inlineStr">
        <is>
          <t>Fashionware</t>
        </is>
      </c>
      <c r="D645" s="21" t="inlineStr"/>
      <c r="E645" s="21" t="inlineStr"/>
      <c r="F645" s="31" t="n"/>
      <c r="G645" s="31" t="n"/>
      <c r="H645" s="31" t="n"/>
      <c r="I645" s="31" t="n"/>
      <c r="J645" s="31" t="n">
        <v>0</v>
      </c>
      <c r="K645" s="31" t="n">
        <v>0</v>
      </c>
      <c r="L645" s="31" t="n">
        <v>0</v>
      </c>
      <c r="M645" s="31" t="n">
        <v>0</v>
      </c>
      <c r="N645" s="21" t="inlineStr">
        <is>
          <t>Mall</t>
        </is>
      </c>
      <c r="O645" s="21" t="inlineStr"/>
      <c r="P645" s="21" t="inlineStr"/>
      <c r="Q645" s="21" t="inlineStr"/>
      <c r="R645" s="40" t="n">
        <v>100</v>
      </c>
      <c r="S645" s="21" t="inlineStr">
        <is>
          <t>CP:R 358</t>
        </is>
      </c>
      <c r="T645" s="21" t="inlineStr">
        <is>
          <t>Dyes and pigments infused into the skin to permanently change its hue, the applications of which can range from hiding blemishes to the desire for neon-green skin. Pigments can optionally be temperature-sensitive or reac</t>
        </is>
      </c>
    </row>
    <row r="646">
      <c r="A646" s="21" t="inlineStr">
        <is>
          <t>Light Tattoo</t>
        </is>
      </c>
      <c r="B646" s="21" t="inlineStr">
        <is>
          <t>Кибернетика</t>
        </is>
      </c>
      <c r="C646" s="21" t="inlineStr">
        <is>
          <t>Fashionware</t>
        </is>
      </c>
      <c r="D646" s="21" t="inlineStr"/>
      <c r="E646" s="21" t="inlineStr"/>
      <c r="F646" s="31" t="n"/>
      <c r="G646" s="31" t="n"/>
      <c r="H646" s="31" t="n"/>
      <c r="I646" s="31" t="n"/>
      <c r="J646" s="31" t="n">
        <v>0</v>
      </c>
      <c r="K646" s="31" t="n">
        <v>0</v>
      </c>
      <c r="L646" s="31" t="n">
        <v>0</v>
      </c>
      <c r="M646" s="31" t="n">
        <v>0</v>
      </c>
      <c r="N646" s="21" t="inlineStr">
        <is>
          <t>Mall</t>
        </is>
      </c>
      <c r="O646" s="21" t="inlineStr"/>
      <c r="P646" s="21" t="inlineStr"/>
      <c r="Q646" s="21" t="inlineStr"/>
      <c r="R646" s="40" t="n">
        <v>100</v>
      </c>
      <c r="S646" s="21" t="inlineStr">
        <is>
          <t>CP:R 358</t>
        </is>
      </c>
      <c r="T646" s="21" t="inlineStr">
        <is>
          <t>Subdermal patches store light and project colored tattoos under the skin. The larger the piece, the more installations of this fashionware you need to complete it. A user with a three or more Light Tattoo installations a</t>
        </is>
      </c>
    </row>
    <row r="647">
      <c r="A647" s="21" t="inlineStr">
        <is>
          <t>Shift Tacts</t>
        </is>
      </c>
      <c r="B647" s="21" t="inlineStr">
        <is>
          <t>Кибернетика</t>
        </is>
      </c>
      <c r="C647" s="21" t="inlineStr">
        <is>
          <t>Fashionware</t>
        </is>
      </c>
      <c r="D647" s="21" t="inlineStr"/>
      <c r="E647" s="21" t="inlineStr"/>
      <c r="F647" s="31" t="n"/>
      <c r="G647" s="31" t="n"/>
      <c r="H647" s="31" t="n"/>
      <c r="I647" s="31" t="n"/>
      <c r="J647" s="31" t="n">
        <v>0</v>
      </c>
      <c r="K647" s="31" t="n">
        <v>0</v>
      </c>
      <c r="L647" s="31" t="n">
        <v>0</v>
      </c>
      <c r="M647" s="31" t="n">
        <v>0</v>
      </c>
      <c r="N647" s="21" t="inlineStr">
        <is>
          <t>Mall</t>
        </is>
      </c>
      <c r="O647" s="21" t="inlineStr"/>
      <c r="P647" s="21" t="inlineStr"/>
      <c r="Q647" s="21" t="inlineStr"/>
      <c r="R647" s="40" t="n">
        <v>100</v>
      </c>
      <c r="S647" s="21" t="inlineStr">
        <is>
          <t>CP:R 358</t>
        </is>
      </c>
      <c r="T647" s="21" t="inlineStr">
        <is>
          <t>Color-changing lenses implanted into the eye. Several patterns are also available. Lenses can optionally be temperature-sensitive or reactant to hormone changes in the body. Only one choice of color and pattern can be ma</t>
        </is>
      </c>
    </row>
    <row r="648">
      <c r="A648" s="21" t="inlineStr">
        <is>
          <t>Skinwatch</t>
        </is>
      </c>
      <c r="B648" s="21" t="inlineStr">
        <is>
          <t>Кибернетика</t>
        </is>
      </c>
      <c r="C648" s="21" t="inlineStr">
        <is>
          <t>Fashionware</t>
        </is>
      </c>
      <c r="D648" s="21" t="inlineStr"/>
      <c r="E648" s="21" t="inlineStr"/>
      <c r="F648" s="31" t="n"/>
      <c r="G648" s="31" t="n"/>
      <c r="H648" s="31" t="n"/>
      <c r="I648" s="31" t="n"/>
      <c r="J648" s="31" t="n">
        <v>0</v>
      </c>
      <c r="K648" s="31" t="n">
        <v>0</v>
      </c>
      <c r="L648" s="31" t="n">
        <v>0</v>
      </c>
      <c r="M648" s="31" t="n">
        <v>0</v>
      </c>
      <c r="N648" s="21" t="inlineStr">
        <is>
          <t>Mall</t>
        </is>
      </c>
      <c r="O648" s="21" t="inlineStr"/>
      <c r="P648" s="21" t="inlineStr"/>
      <c r="Q648" s="21" t="inlineStr"/>
      <c r="R648" s="40" t="n">
        <v>100</v>
      </c>
      <c r="S648" s="21" t="inlineStr">
        <is>
          <t>CP:R 358</t>
        </is>
      </c>
      <c r="T648" s="21" t="inlineStr">
        <is>
          <t>Subdermal implant generates a constant LED readout of the current time and date visible through the skin.</t>
        </is>
      </c>
    </row>
    <row r="649">
      <c r="A649" s="21" t="inlineStr">
        <is>
          <t>TechHair</t>
        </is>
      </c>
      <c r="B649" s="21" t="inlineStr">
        <is>
          <t>Кибернетика</t>
        </is>
      </c>
      <c r="C649" s="21" t="inlineStr">
        <is>
          <t>Fashionware</t>
        </is>
      </c>
      <c r="D649" s="21" t="inlineStr"/>
      <c r="E649" s="21" t="inlineStr"/>
      <c r="F649" s="31" t="n"/>
      <c r="G649" s="31" t="n"/>
      <c r="H649" s="31" t="n"/>
      <c r="I649" s="31" t="n"/>
      <c r="J649" s="31" t="n">
        <v>0</v>
      </c>
      <c r="K649" s="31" t="n">
        <v>0</v>
      </c>
      <c r="L649" s="31" t="n">
        <v>0</v>
      </c>
      <c r="M649" s="31" t="n">
        <v>0</v>
      </c>
      <c r="N649" s="21" t="inlineStr">
        <is>
          <t>Mall</t>
        </is>
      </c>
      <c r="O649" s="21" t="inlineStr"/>
      <c r="P649" s="21" t="inlineStr"/>
      <c r="Q649" s="21" t="inlineStr"/>
      <c r="R649" s="40" t="n">
        <v>100</v>
      </c>
      <c r="S649" s="21" t="inlineStr">
        <is>
          <t>CP:R 358</t>
        </is>
      </c>
      <c r="T649" s="21" t="inlineStr">
        <is>
          <t>Color-light-emitting artificial hair. Hair can optionally be temperature sensitive, motorized to extend/retract, or reactant to hormone changes in the body. A user with Chemskin and Techhair adds +2 to their Personal Gro</t>
        </is>
      </c>
    </row>
    <row r="650">
      <c r="A650" s="21" t="inlineStr">
        <is>
          <t>Turn-On Show-Off Nails</t>
        </is>
      </c>
      <c r="B650" s="21" t="inlineStr">
        <is>
          <t>Кибернетика</t>
        </is>
      </c>
      <c r="C650" s="21" t="inlineStr">
        <is>
          <t>Fashionware</t>
        </is>
      </c>
      <c r="D650" s="21" t="inlineStr"/>
      <c r="E650" s="21" t="inlineStr"/>
      <c r="F650" s="31" t="n"/>
      <c r="G650" s="31" t="n"/>
      <c r="H650" s="31" t="n"/>
      <c r="I650" s="31" t="n"/>
      <c r="J650" s="31" t="n">
        <v>0</v>
      </c>
      <c r="K650" s="31" t="n">
        <v>0</v>
      </c>
      <c r="L650" s="31" t="n">
        <v>0</v>
      </c>
      <c r="M650" s="31" t="n">
        <v>0</v>
      </c>
      <c r="N650" s="21" t="inlineStr">
        <is>
          <t>Mall</t>
        </is>
      </c>
      <c r="O650" s="21" t="inlineStr"/>
      <c r="P650" s="21" t="inlineStr"/>
      <c r="Q650" s="21" t="inlineStr"/>
      <c r="R650" s="40" t="n">
        <v>100</v>
      </c>
      <c r="S650" s="21" t="inlineStr">
        <is>
          <t>DL:MHC 3 · DGD 146 · IR3 47</t>
        </is>
      </c>
      <c r="T650" s="21" t="inlineStr">
        <is>
          <t xml:space="preserve">You don’t always need to just sell what you know. My girlfriend is crazy about Turn-On-Show-Off Nails. She watches at least four different Garden Patches dedicated to customizing and modding them, and was overjoyed when </t>
        </is>
      </c>
    </row>
    <row r="651">
      <c r="A651" s="21" t="inlineStr">
        <is>
          <t>Kill Display</t>
        </is>
      </c>
      <c r="B651" s="21" t="inlineStr">
        <is>
          <t>Кибернетика</t>
        </is>
      </c>
      <c r="C651" s="21" t="inlineStr">
        <is>
          <t>Fashionware</t>
        </is>
      </c>
      <c r="D651" s="21" t="inlineStr"/>
      <c r="E651" s="21" t="inlineStr"/>
      <c r="F651" s="31" t="n"/>
      <c r="G651" s="31" t="n"/>
      <c r="H651" s="31" t="n"/>
      <c r="I651" s="31" t="n"/>
      <c r="J651" s="31" t="n">
        <v>0</v>
      </c>
      <c r="K651" s="31" t="n">
        <v>0</v>
      </c>
      <c r="L651" s="31" t="n">
        <v>0</v>
      </c>
      <c r="M651" s="31" t="n">
        <v>0</v>
      </c>
      <c r="N651" s="21" t="inlineStr">
        <is>
          <t>Mall</t>
        </is>
      </c>
      <c r="O651" s="21" t="inlineStr"/>
      <c r="P651" s="21" t="inlineStr"/>
      <c r="Q651" s="21" t="inlineStr"/>
      <c r="R651" s="40" t="n">
        <v>100</v>
      </c>
      <c r="S651" s="21" t="inlineStr">
        <is>
          <t>DL:MHC 3 · IR3 47</t>
        </is>
      </c>
      <c r="T651" s="21" t="inlineStr">
        <is>
          <t xml:space="preserve">Now these are real retro-cool. You wanna look like one of those Edgerunners from the 2020s? You gotta get one of these on the forearm if you’re here for the throwback. But you don’t have to just use it for tracking your </t>
        </is>
      </c>
    </row>
    <row r="652">
      <c r="A652" s="21" t="inlineStr">
        <is>
          <t>Mood Eye</t>
        </is>
      </c>
      <c r="B652" s="21" t="inlineStr">
        <is>
          <t>Кибернетика</t>
        </is>
      </c>
      <c r="C652" s="21" t="inlineStr">
        <is>
          <t>Fashionware</t>
        </is>
      </c>
      <c r="D652" s="21" t="inlineStr"/>
      <c r="E652" s="21" t="inlineStr"/>
      <c r="F652" s="31" t="n"/>
      <c r="G652" s="31" t="n"/>
      <c r="H652" s="31" t="n"/>
      <c r="I652" s="31" t="n"/>
      <c r="J652" s="31" t="n">
        <v>0</v>
      </c>
      <c r="K652" s="31" t="n">
        <v>0</v>
      </c>
      <c r="L652" s="31" t="n">
        <v>0</v>
      </c>
      <c r="M652" s="31" t="n">
        <v>0</v>
      </c>
      <c r="N652" s="21" t="inlineStr">
        <is>
          <t>Mall</t>
        </is>
      </c>
      <c r="O652" s="21" t="inlineStr"/>
      <c r="P652" s="21" t="inlineStr"/>
      <c r="Q652" s="21" t="inlineStr"/>
      <c r="R652" s="40" t="n">
        <v>100</v>
      </c>
      <c r="S652" s="21" t="inlineStr">
        <is>
          <t>DL:MHC 3 · IR3 47</t>
        </is>
      </c>
      <c r="T652" s="21" t="inlineStr">
        <is>
          <t>Gotta admit, these are kinda weird. I guess they, uh, are for people with a unique fashion sense? Yeah, that’s it! Real trend setting product right here. Be on the newest wavelength of fashion with these! Just maybe don’</t>
        </is>
      </c>
    </row>
    <row r="653">
      <c r="A653" s="21" t="inlineStr">
        <is>
          <t>Continental Brands Koff Pops</t>
        </is>
      </c>
      <c r="B653" s="21" t="inlineStr">
        <is>
          <t>Снаряжение</t>
        </is>
      </c>
      <c r="C653" s="21" t="inlineStr">
        <is>
          <t>Foodstuff</t>
        </is>
      </c>
      <c r="D653" s="21" t="inlineStr"/>
      <c r="E653" s="21" t="inlineStr"/>
      <c r="F653" s="31" t="n"/>
      <c r="G653" s="31" t="n"/>
      <c r="H653" s="31" t="n"/>
      <c r="I653" s="31" t="n"/>
      <c r="J653" s="31" t="n">
        <v>0</v>
      </c>
      <c r="K653" s="31" t="n">
        <v>0</v>
      </c>
      <c r="L653" s="31" t="n">
        <v>0</v>
      </c>
      <c r="M653" s="31" t="n">
        <v>0</v>
      </c>
      <c r="N653" s="21" t="inlineStr"/>
      <c r="O653" s="21" t="inlineStr"/>
      <c r="P653" s="21" t="inlineStr"/>
      <c r="Q653" s="21" t="inlineStr"/>
      <c r="R653" s="40" t="n">
        <v>10</v>
      </c>
      <c r="S653" s="21" t="inlineStr">
        <is>
          <t>DL:Cargo 5 · IR2 37</t>
        </is>
      </c>
      <c r="T653" s="21" t="inlineStr">
        <is>
          <t>The Koff Popper is a specialty thermos. Stuff a Koff Pop into a compartment built into the lid, pour in some water through the top, and press the button. In less than a minute you’ve got 8 ounces (237 ml) of thin, warmis</t>
        </is>
      </c>
    </row>
    <row r="654">
      <c r="A654" s="21" t="inlineStr">
        <is>
          <t>C Brands Real Instant Coffee</t>
        </is>
      </c>
      <c r="B654" s="21" t="inlineStr">
        <is>
          <t>Снаряжение</t>
        </is>
      </c>
      <c r="C654" s="21" t="inlineStr">
        <is>
          <t>Foodstuff</t>
        </is>
      </c>
      <c r="D654" s="21" t="inlineStr"/>
      <c r="E654" s="21" t="inlineStr"/>
      <c r="F654" s="31" t="n"/>
      <c r="G654" s="31" t="n"/>
      <c r="H654" s="31" t="n"/>
      <c r="I654" s="31" t="n"/>
      <c r="J654" s="31" t="n">
        <v>0</v>
      </c>
      <c r="K654" s="31" t="n">
        <v>0</v>
      </c>
      <c r="L654" s="31" t="n">
        <v>0</v>
      </c>
      <c r="M654" s="31" t="n">
        <v>0</v>
      </c>
      <c r="N654" s="21" t="inlineStr"/>
      <c r="O654" s="21" t="inlineStr"/>
      <c r="P654" s="21" t="inlineStr"/>
      <c r="Q654" s="21" t="inlineStr"/>
      <c r="R654" s="40" t="n">
        <v>100</v>
      </c>
      <c r="S654" s="21" t="inlineStr">
        <is>
          <t>DL:Conapts 7 · IR4 51</t>
        </is>
      </c>
      <c r="T654" s="21" t="inlineStr">
        <is>
          <t>That’s right. The vacuum-sealed brick you’re staring at right now holds 16 ounces (.45 kgs) of real instant coffee made from real coffee beans! Experience the luxury of your favorite breakfast/dessert beverage brewed fro</t>
        </is>
      </c>
    </row>
    <row r="655">
      <c r="A655" s="21" t="inlineStr">
        <is>
          <t>Foodstick</t>
        </is>
      </c>
      <c r="B655" s="21" t="inlineStr">
        <is>
          <t>Снаряжение</t>
        </is>
      </c>
      <c r="C655" s="21" t="inlineStr">
        <is>
          <t>Foodstuff</t>
        </is>
      </c>
      <c r="D655" s="21" t="inlineStr"/>
      <c r="E655" s="21" t="inlineStr"/>
      <c r="F655" s="31" t="n"/>
      <c r="G655" s="31" t="n"/>
      <c r="H655" s="31" t="n"/>
      <c r="I655" s="31" t="n"/>
      <c r="J655" s="31" t="n">
        <v>0</v>
      </c>
      <c r="K655" s="31" t="n">
        <v>0</v>
      </c>
      <c r="L655" s="31" t="n">
        <v>0</v>
      </c>
      <c r="M655" s="31" t="n">
        <v>0</v>
      </c>
      <c r="N655" s="21" t="inlineStr"/>
      <c r="O655" s="21" t="inlineStr"/>
      <c r="P655" s="21" t="inlineStr"/>
      <c r="Q655" s="21" t="inlineStr"/>
      <c r="R655" s="40" t="n">
        <v>10</v>
      </c>
      <c r="S655" s="21" t="inlineStr">
        <is>
          <t>CP:R 353</t>
        </is>
      </c>
      <c r="T655" s="21" t="inlineStr">
        <is>
          <t>Grainy, dried food bar that comes in a variety of (awful) flavors. One meal.</t>
        </is>
      </c>
    </row>
    <row r="656">
      <c r="A656" s="21" t="inlineStr">
        <is>
          <t>Kibble Pack</t>
        </is>
      </c>
      <c r="B656" s="21" t="inlineStr">
        <is>
          <t>Снаряжение</t>
        </is>
      </c>
      <c r="C656" s="21" t="inlineStr">
        <is>
          <t>Foodstuff</t>
        </is>
      </c>
      <c r="D656" s="21" t="inlineStr"/>
      <c r="E656" s="21" t="inlineStr"/>
      <c r="F656" s="31" t="n"/>
      <c r="G656" s="31" t="n"/>
      <c r="H656" s="31" t="n"/>
      <c r="I656" s="31" t="n"/>
      <c r="J656" s="31" t="n">
        <v>0</v>
      </c>
      <c r="K656" s="31" t="n">
        <v>0</v>
      </c>
      <c r="L656" s="31" t="n">
        <v>0</v>
      </c>
      <c r="M656" s="31" t="n">
        <v>0</v>
      </c>
      <c r="N656" s="21" t="inlineStr"/>
      <c r="O656" s="21" t="inlineStr"/>
      <c r="P656" s="21" t="inlineStr"/>
      <c r="Q656" s="21" t="inlineStr"/>
      <c r="R656" s="40" t="n">
        <v>10</v>
      </c>
      <c r="S656" s="21" t="inlineStr">
        <is>
          <t>CP:R 354</t>
        </is>
      </c>
      <c r="T656" s="21" t="inlineStr">
        <is>
          <t>One foil package of dry, pet food-like cereal or wafers equivalent to a single meal. Usually identified by number rather than the fake appetizing label and description</t>
        </is>
      </c>
    </row>
    <row r="657">
      <c r="A657" s="21" t="inlineStr">
        <is>
          <t>MRE</t>
        </is>
      </c>
      <c r="B657" s="21" t="inlineStr">
        <is>
          <t>Снаряжение</t>
        </is>
      </c>
      <c r="C657" s="21" t="inlineStr">
        <is>
          <t>Foodstuff</t>
        </is>
      </c>
      <c r="D657" s="21" t="inlineStr"/>
      <c r="E657" s="21" t="inlineStr"/>
      <c r="F657" s="31" t="n"/>
      <c r="G657" s="31" t="n"/>
      <c r="H657" s="31" t="n"/>
      <c r="I657" s="31" t="n"/>
      <c r="J657" s="31" t="n">
        <v>0</v>
      </c>
      <c r="K657" s="31" t="n">
        <v>0</v>
      </c>
      <c r="L657" s="31" t="n">
        <v>0</v>
      </c>
      <c r="M657" s="31" t="n">
        <v>0</v>
      </c>
      <c r="N657" s="21" t="inlineStr"/>
      <c r="O657" s="21" t="inlineStr"/>
      <c r="P657" s="21" t="inlineStr"/>
      <c r="Q657" s="21" t="inlineStr"/>
      <c r="R657" s="40" t="n">
        <v>10</v>
      </c>
      <c r="S657" s="21" t="inlineStr">
        <is>
          <t>CP:R 354</t>
        </is>
      </c>
      <c r="T657" s="21" t="inlineStr">
        <is>
          <t>Self-heating plastic and foil meal bag. Add water, snap the tab on the top, and in 2 minutes you have something that resembles a single hot, nourishing meal.</t>
        </is>
      </c>
    </row>
    <row r="658">
      <c r="A658" s="21" t="inlineStr">
        <is>
          <t>Triti-Fizz</t>
        </is>
      </c>
      <c r="B658" s="21" t="inlineStr">
        <is>
          <t>Снаряжение</t>
        </is>
      </c>
      <c r="C658" s="21" t="inlineStr">
        <is>
          <t>Foodstuff</t>
        </is>
      </c>
      <c r="D658" s="21" t="inlineStr"/>
      <c r="E658" s="21" t="inlineStr"/>
      <c r="F658" s="31" t="n"/>
      <c r="G658" s="31" t="n"/>
      <c r="H658" s="31" t="n"/>
      <c r="I658" s="31" t="n"/>
      <c r="J658" s="31" t="n">
        <v>0</v>
      </c>
      <c r="K658" s="31" t="n">
        <v>0</v>
      </c>
      <c r="L658" s="31" t="n">
        <v>0</v>
      </c>
      <c r="M658" s="31" t="n">
        <v>0</v>
      </c>
      <c r="N658" s="21" t="inlineStr"/>
      <c r="O658" s="21" t="inlineStr"/>
      <c r="P658" s="21" t="inlineStr"/>
      <c r="Q658" s="21" t="inlineStr"/>
      <c r="R658" s="40" t="n">
        <v>10</v>
      </c>
      <c r="S658" s="21" t="inlineStr">
        <is>
          <t>BC 124</t>
        </is>
      </c>
      <c r="T658" s="21" t="inlineStr">
        <is>
          <t xml:space="preserve">Tasty. Thirst quenching. And not at all addictive (according to Continental Brands ads). Triti-Fizz remains the powerhouse of the soft drink industry, with many colorful flavors lining the shelves of Oasis stores across </t>
        </is>
      </c>
    </row>
    <row r="659">
      <c r="A659" s="21" t="inlineStr">
        <is>
          <t>Cybermatrix Copernicus</t>
        </is>
      </c>
      <c r="B659" s="21" t="inlineStr">
        <is>
          <t>Кибернетика</t>
        </is>
      </c>
      <c r="C659" s="21" t="inlineStr">
        <is>
          <t>Full Body Conversion</t>
        </is>
      </c>
      <c r="D659" s="21" t="inlineStr"/>
      <c r="E659" s="21" t="inlineStr"/>
      <c r="F659" s="31" t="n"/>
      <c r="G659" s="31" t="n"/>
      <c r="H659" s="31" t="n"/>
      <c r="I659" s="31" t="n"/>
      <c r="J659" s="31" t="n">
        <v>0</v>
      </c>
      <c r="K659" s="31" t="n">
        <v>0</v>
      </c>
      <c r="L659" s="31" t="n">
        <v>0</v>
      </c>
      <c r="M659" s="31" t="n">
        <v>52</v>
      </c>
      <c r="N659" s="21" t="inlineStr">
        <is>
          <t>Hospital (Requires Biosystem)</t>
        </is>
      </c>
      <c r="O659" s="21" t="inlineStr"/>
      <c r="P659" s="21" t="inlineStr"/>
      <c r="Q659" s="21" t="inlineStr"/>
      <c r="R659" s="40" t="n">
        <v>17300</v>
      </c>
      <c r="S659" s="21" t="inlineStr">
        <is>
          <t>IR3 96</t>
        </is>
      </c>
      <c r="T659" s="21" t="inlineStr">
        <is>
          <t>Designed by Cybermatrix Incorporated as the ideal FBC body for deep-space exploration and construction, the Copernicus has endured the test of time in the most hostile environment imaginable: the vacuum of space. Conside</t>
        </is>
      </c>
    </row>
    <row r="660">
      <c r="A660" s="21" t="inlineStr">
        <is>
          <t>Dynalar Aquarius</t>
        </is>
      </c>
      <c r="B660" s="21" t="inlineStr">
        <is>
          <t>Кибернетика</t>
        </is>
      </c>
      <c r="C660" s="21" t="inlineStr">
        <is>
          <t>Full Body Conversion</t>
        </is>
      </c>
      <c r="D660" s="21" t="inlineStr"/>
      <c r="E660" s="21" t="inlineStr"/>
      <c r="F660" s="31" t="n"/>
      <c r="G660" s="31" t="n"/>
      <c r="H660" s="31" t="n"/>
      <c r="I660" s="31" t="n"/>
      <c r="J660" s="31" t="n">
        <v>0</v>
      </c>
      <c r="K660" s="31" t="n">
        <v>0</v>
      </c>
      <c r="L660" s="31" t="n">
        <v>0</v>
      </c>
      <c r="M660" s="31" t="n">
        <v>37</v>
      </c>
      <c r="N660" s="21" t="inlineStr">
        <is>
          <t>Hospital (Requires Biosystem)</t>
        </is>
      </c>
      <c r="O660" s="21" t="inlineStr"/>
      <c r="P660" s="21" t="inlineStr"/>
      <c r="Q660" s="21" t="inlineStr"/>
      <c r="R660" s="40" t="n">
        <v>13000</v>
      </c>
      <c r="S660" s="21" t="inlineStr">
        <is>
          <t>IR3 96</t>
        </is>
      </c>
      <c r="T660" s="21" t="inlineStr">
        <is>
          <t>Dynalar claims that the Aquarius is superior to any diving system, and they’re right. As at home in freshwater as in salt water, the Aquarius is the last word for exploration and life under the sea. If it weren’t for the</t>
        </is>
      </c>
    </row>
    <row r="661">
      <c r="A661" s="21" t="inlineStr">
        <is>
          <t>Dynalar Brimstone</t>
        </is>
      </c>
      <c r="B661" s="21" t="inlineStr">
        <is>
          <t>Кибернетика</t>
        </is>
      </c>
      <c r="C661" s="21" t="inlineStr">
        <is>
          <t>Full Body Conversion</t>
        </is>
      </c>
      <c r="D661" s="21" t="inlineStr"/>
      <c r="E661" s="21" t="inlineStr"/>
      <c r="F661" s="31" t="n"/>
      <c r="G661" s="31" t="n"/>
      <c r="H661" s="31" t="n"/>
      <c r="I661" s="31" t="n"/>
      <c r="J661" s="31" t="n">
        <v>0</v>
      </c>
      <c r="K661" s="31" t="n">
        <v>0</v>
      </c>
      <c r="L661" s="31" t="n">
        <v>0</v>
      </c>
      <c r="M661" s="31" t="n">
        <v>53</v>
      </c>
      <c r="N661" s="21" t="inlineStr">
        <is>
          <t>Hospital (Requires Biosystem)</t>
        </is>
      </c>
      <c r="O661" s="21" t="inlineStr"/>
      <c r="P661" s="21" t="inlineStr"/>
      <c r="Q661" s="21" t="inlineStr"/>
      <c r="R661" s="40" t="n">
        <v>17600</v>
      </c>
      <c r="S661" s="21" t="inlineStr">
        <is>
          <t>IR3 96</t>
        </is>
      </c>
      <c r="T661" s="21" t="inlineStr">
        <is>
          <t>A fully fireproofed engineering masterpiece by Dynalar, the Brimstone was created to defeat humankind’s greatest tool and enemy: Fire! The modern Brimstone model favors magnetically launched C02-based explosive firefight</t>
        </is>
      </c>
    </row>
    <row r="662">
      <c r="A662" s="21" t="inlineStr">
        <is>
          <t>Militech Dragoon</t>
        </is>
      </c>
      <c r="B662" s="21" t="inlineStr">
        <is>
          <t>Кибернетика</t>
        </is>
      </c>
      <c r="C662" s="21" t="inlineStr">
        <is>
          <t>Full Body Conversion</t>
        </is>
      </c>
      <c r="D662" s="21" t="inlineStr"/>
      <c r="E662" s="21" t="inlineStr"/>
      <c r="F662" s="31" t="n"/>
      <c r="G662" s="31" t="n"/>
      <c r="H662" s="31" t="n"/>
      <c r="I662" s="31" t="n"/>
      <c r="J662" s="31" t="n">
        <v>0</v>
      </c>
      <c r="K662" s="31" t="n">
        <v>0</v>
      </c>
      <c r="L662" s="31" t="n">
        <v>0</v>
      </c>
      <c r="M662" s="31" t="n">
        <v>64</v>
      </c>
      <c r="N662" s="21" t="inlineStr">
        <is>
          <t>Hospital (Requires Biosystem)</t>
        </is>
      </c>
      <c r="O662" s="21" t="inlineStr"/>
      <c r="P662" s="21" t="inlineStr"/>
      <c r="Q662" s="21" t="inlineStr"/>
      <c r="R662" s="40" t="n">
        <v>35000</v>
      </c>
      <c r="S662" s="21" t="inlineStr">
        <is>
          <t>IR3 98</t>
        </is>
      </c>
      <c r="T662" s="21" t="inlineStr">
        <is>
          <t>A complete revision of the undeniably effective military FBC that won the 4th Corporate War, the reenvisioned Dragoon is ready to win the next one, too! This new model is lower impact, boasts our lowest rate of pilot shr</t>
        </is>
      </c>
    </row>
    <row r="663">
      <c r="A663" s="21" t="inlineStr">
        <is>
          <t>Militech Eclipse</t>
        </is>
      </c>
      <c r="B663" s="21" t="inlineStr">
        <is>
          <t>Кибернетика</t>
        </is>
      </c>
      <c r="C663" s="21" t="inlineStr">
        <is>
          <t>Full Body Conversion</t>
        </is>
      </c>
      <c r="D663" s="21" t="inlineStr"/>
      <c r="E663" s="21" t="inlineStr"/>
      <c r="F663" s="31" t="n"/>
      <c r="G663" s="31" t="n"/>
      <c r="H663" s="31" t="n"/>
      <c r="I663" s="31" t="n"/>
      <c r="J663" s="31" t="n">
        <v>0</v>
      </c>
      <c r="K663" s="31" t="n">
        <v>0</v>
      </c>
      <c r="L663" s="31" t="n">
        <v>0</v>
      </c>
      <c r="M663" s="31" t="n">
        <v>67</v>
      </c>
      <c r="N663" s="21" t="inlineStr">
        <is>
          <t>Hospital (Requires Biosystem)</t>
        </is>
      </c>
      <c r="O663" s="21" t="inlineStr"/>
      <c r="P663" s="21" t="inlineStr"/>
      <c r="Q663" s="21" t="inlineStr"/>
      <c r="R663" s="40" t="n">
        <v>29200</v>
      </c>
      <c r="S663" s="21" t="inlineStr">
        <is>
          <t>IR3 98</t>
        </is>
      </c>
      <c r="T663" s="21" t="inlineStr">
        <is>
          <t>Your question is ridiculous. Militech doesn’t field an elite unit of “killer Borg ninjas” to service our interests from the shadows. You are misinformed, likely by our disgraced former competitors in the security market.</t>
        </is>
      </c>
    </row>
    <row r="664">
      <c r="A664" s="21" t="inlineStr">
        <is>
          <t>MIlitech Enforcer</t>
        </is>
      </c>
      <c r="B664" s="21" t="inlineStr">
        <is>
          <t>Кибернетика</t>
        </is>
      </c>
      <c r="C664" s="21" t="inlineStr">
        <is>
          <t>Full Body Conversion</t>
        </is>
      </c>
      <c r="D664" s="21" t="inlineStr"/>
      <c r="E664" s="21" t="inlineStr"/>
      <c r="F664" s="31" t="n"/>
      <c r="G664" s="31" t="n"/>
      <c r="H664" s="31" t="n"/>
      <c r="I664" s="31" t="n"/>
      <c r="J664" s="31" t="n">
        <v>0</v>
      </c>
      <c r="K664" s="31" t="n">
        <v>0</v>
      </c>
      <c r="L664" s="31" t="n">
        <v>0</v>
      </c>
      <c r="M664" s="31" t="n">
        <v>53</v>
      </c>
      <c r="N664" s="21" t="inlineStr">
        <is>
          <t>Hospital (Requires Biosystem)</t>
        </is>
      </c>
      <c r="O664" s="21" t="inlineStr"/>
      <c r="P664" s="21" t="inlineStr"/>
      <c r="Q664" s="21" t="inlineStr"/>
      <c r="R664" s="40" t="n">
        <v>16800</v>
      </c>
      <c r="S664" s="21" t="inlineStr">
        <is>
          <t>IR3 100</t>
        </is>
      </c>
      <c r="T664" s="21" t="inlineStr">
        <is>
          <t xml:space="preserve">Militech understands what it takes to bring criminals to justice – it takes an Enforcer. Built to outlast the hottest of active situations you’ll run into on the job and get you home safe to your family, the Enforcer is </t>
        </is>
      </c>
    </row>
    <row r="665">
      <c r="A665" s="21" t="inlineStr">
        <is>
          <t>Militech Spyder 2.0</t>
        </is>
      </c>
      <c r="B665" s="21" t="inlineStr">
        <is>
          <t>Кибернетика</t>
        </is>
      </c>
      <c r="C665" s="21" t="inlineStr">
        <is>
          <t>Full Body Conversion</t>
        </is>
      </c>
      <c r="D665" s="21" t="inlineStr"/>
      <c r="E665" s="21" t="inlineStr"/>
      <c r="F665" s="31" t="n"/>
      <c r="G665" s="31" t="n"/>
      <c r="H665" s="31" t="n"/>
      <c r="I665" s="31" t="n"/>
      <c r="J665" s="31" t="n">
        <v>0</v>
      </c>
      <c r="K665" s="31" t="n">
        <v>0</v>
      </c>
      <c r="L665" s="31" t="n">
        <v>0</v>
      </c>
      <c r="M665" s="31" t="n">
        <v>73</v>
      </c>
      <c r="N665" s="21" t="inlineStr">
        <is>
          <t>Hospital (Requires Biosystem)</t>
        </is>
      </c>
      <c r="O665" s="21" t="inlineStr"/>
      <c r="P665" s="21" t="inlineStr"/>
      <c r="Q665" s="21" t="inlineStr"/>
      <c r="R665" s="40" t="n">
        <v>24900</v>
      </c>
      <c r="S665" s="21" t="inlineStr">
        <is>
          <t>IR3 100</t>
        </is>
      </c>
      <c r="T665" s="21" t="inlineStr">
        <is>
          <t>At Militech, we thought we’d mastered the need for covert operations with the original Spyder. That was until we developed the Spyder 2.0 and created the perfect espionage Borg! With the right hire, one investment in a M</t>
        </is>
      </c>
    </row>
    <row r="666">
      <c r="A666" s="21" t="inlineStr">
        <is>
          <t>Moore Technologies Sheol</t>
        </is>
      </c>
      <c r="B666" s="21" t="inlineStr">
        <is>
          <t>Кибернетика</t>
        </is>
      </c>
      <c r="C666" s="21" t="inlineStr">
        <is>
          <t>Full Body Conversion</t>
        </is>
      </c>
      <c r="D666" s="21" t="inlineStr"/>
      <c r="E666" s="21" t="inlineStr"/>
      <c r="F666" s="31" t="n"/>
      <c r="G666" s="31" t="n"/>
      <c r="H666" s="31" t="n"/>
      <c r="I666" s="31" t="n"/>
      <c r="J666" s="31" t="n">
        <v>0</v>
      </c>
      <c r="K666" s="31" t="n">
        <v>0</v>
      </c>
      <c r="L666" s="31" t="n">
        <v>0</v>
      </c>
      <c r="M666" s="31" t="n">
        <v>32</v>
      </c>
      <c r="N666" s="21" t="inlineStr">
        <is>
          <t>Hospital (Requires Biosystem)</t>
        </is>
      </c>
      <c r="O666" s="21" t="inlineStr"/>
      <c r="P666" s="21" t="inlineStr"/>
      <c r="Q666" s="21" t="inlineStr"/>
      <c r="R666" s="40" t="n">
        <v>19600</v>
      </c>
      <c r="S666" s="21" t="inlineStr">
        <is>
          <t>IR3 100</t>
        </is>
      </c>
      <c r="T666" s="21" t="inlineStr">
        <is>
          <t>The Sheol platform by Moore Technologies is designed to handle the most hazardous operation you can throw at it and get the job done right the first time. Its price is highly affordable when you consider the cost associa</t>
        </is>
      </c>
    </row>
    <row r="667">
      <c r="A667" s="21" t="inlineStr">
        <is>
          <t>NovelTech Samson</t>
        </is>
      </c>
      <c r="B667" s="21" t="inlineStr">
        <is>
          <t>Кибернетика</t>
        </is>
      </c>
      <c r="C667" s="21" t="inlineStr">
        <is>
          <t>Full Body Conversion</t>
        </is>
      </c>
      <c r="D667" s="21" t="inlineStr"/>
      <c r="E667" s="21" t="inlineStr"/>
      <c r="F667" s="31" t="n"/>
      <c r="G667" s="31" t="n"/>
      <c r="H667" s="31" t="n"/>
      <c r="I667" s="31" t="n"/>
      <c r="J667" s="31" t="n">
        <v>0</v>
      </c>
      <c r="K667" s="31" t="n">
        <v>0</v>
      </c>
      <c r="L667" s="31" t="n">
        <v>0</v>
      </c>
      <c r="M667" s="31" t="n">
        <v>39</v>
      </c>
      <c r="N667" s="21" t="inlineStr">
        <is>
          <t>Hospital (Requires Biosystem)</t>
        </is>
      </c>
      <c r="O667" s="21" t="inlineStr"/>
      <c r="P667" s="21" t="inlineStr"/>
      <c r="Q667" s="21" t="inlineStr"/>
      <c r="R667" s="40" t="n">
        <v>20500</v>
      </c>
      <c r="S667" s="21" t="inlineStr">
        <is>
          <t>IR3 102</t>
        </is>
      </c>
      <c r="T667" s="21" t="inlineStr">
        <is>
          <t>Modern construction jobs require novel solutions – and when you think novel, think NovelTech. Our flagship “Samson” conversion is the toughest industrial Borg on the market. Just one can replace ten hardhats. Downsize to</t>
        </is>
      </c>
    </row>
    <row r="668">
      <c r="A668" s="21" t="inlineStr">
        <is>
          <t>Raven Microcyb Gemini</t>
        </is>
      </c>
      <c r="B668" s="21" t="inlineStr">
        <is>
          <t>Кибернетика</t>
        </is>
      </c>
      <c r="C668" s="21" t="inlineStr">
        <is>
          <t>Full Body Conversion</t>
        </is>
      </c>
      <c r="D668" s="21" t="inlineStr"/>
      <c r="E668" s="21" t="inlineStr"/>
      <c r="F668" s="31" t="n"/>
      <c r="G668" s="31" t="n"/>
      <c r="H668" s="31" t="n"/>
      <c r="I668" s="31" t="n"/>
      <c r="J668" s="31" t="n">
        <v>0</v>
      </c>
      <c r="K668" s="31" t="n">
        <v>0</v>
      </c>
      <c r="L668" s="31" t="n">
        <v>0</v>
      </c>
      <c r="M668" s="31" t="n">
        <v>14</v>
      </c>
      <c r="N668" s="21" t="inlineStr">
        <is>
          <t>Hospital (Requires Biosystem)</t>
        </is>
      </c>
      <c r="O668" s="21" t="inlineStr"/>
      <c r="P668" s="21" t="inlineStr"/>
      <c r="Q668" s="21" t="inlineStr"/>
      <c r="R668" s="40" t="n">
        <v>10200</v>
      </c>
      <c r="S668" s="21" t="inlineStr">
        <is>
          <t>IR3 102</t>
        </is>
      </c>
      <c r="T668" s="21" t="inlineStr">
        <is>
          <t xml:space="preserve">All the benefits of being a Full Body Conversion, none of the social downsides! Look like a biological person again with our revolutionary Gemini coating – now sold separately, too! Raven Microcybernetics is the cutting </t>
        </is>
      </c>
    </row>
    <row r="669">
      <c r="A669" s="21" t="inlineStr">
        <is>
          <t>Raven Microcyb Wiseman</t>
        </is>
      </c>
      <c r="B669" s="21" t="inlineStr">
        <is>
          <t>Кибернетика</t>
        </is>
      </c>
      <c r="C669" s="21" t="inlineStr">
        <is>
          <t>Full Body Conversion</t>
        </is>
      </c>
      <c r="D669" s="21" t="inlineStr"/>
      <c r="E669" s="21" t="inlineStr"/>
      <c r="F669" s="31" t="n"/>
      <c r="G669" s="31" t="n"/>
      <c r="H669" s="31" t="n"/>
      <c r="I669" s="31" t="n"/>
      <c r="J669" s="31" t="n">
        <v>0</v>
      </c>
      <c r="K669" s="31" t="n">
        <v>0</v>
      </c>
      <c r="L669" s="31" t="n">
        <v>0</v>
      </c>
      <c r="M669" s="31" t="n">
        <v>70</v>
      </c>
      <c r="N669" s="21" t="inlineStr">
        <is>
          <t>Hospital (Requires Biosystem)</t>
        </is>
      </c>
      <c r="O669" s="21" t="inlineStr"/>
      <c r="P669" s="21" t="inlineStr"/>
      <c r="Q669" s="21" t="inlineStr"/>
      <c r="R669" s="40" t="n">
        <v>27480</v>
      </c>
      <c r="S669" s="21" t="inlineStr">
        <is>
          <t>IR3 103</t>
        </is>
      </c>
      <c r="T669" s="21" t="inlineStr">
        <is>
          <t>Doesn’t your Dweller deserve an upgrade? This holiday season, give them the bonus they deserve – a brandnew body by Raven Microcybernetics! Once word gets around, those pesky Netrunners won’t even try to hack your system</t>
        </is>
      </c>
    </row>
    <row r="670">
      <c r="A670" s="21" t="inlineStr">
        <is>
          <t>Rocklin Aug Alpha Class</t>
        </is>
      </c>
      <c r="B670" s="21" t="inlineStr">
        <is>
          <t>Кибернетика</t>
        </is>
      </c>
      <c r="C670" s="21" t="inlineStr">
        <is>
          <t>Full Body Conversion</t>
        </is>
      </c>
      <c r="D670" s="21" t="inlineStr"/>
      <c r="E670" s="21" t="inlineStr"/>
      <c r="F670" s="31" t="n"/>
      <c r="G670" s="31" t="n"/>
      <c r="H670" s="31" t="n"/>
      <c r="I670" s="31" t="n"/>
      <c r="J670" s="31" t="n">
        <v>0</v>
      </c>
      <c r="K670" s="31" t="n">
        <v>0</v>
      </c>
      <c r="L670" s="31" t="n">
        <v>0</v>
      </c>
      <c r="M670" s="31" t="n">
        <v>21</v>
      </c>
      <c r="N670" s="21" t="inlineStr">
        <is>
          <t>Hospital (Requires Biosystem)</t>
        </is>
      </c>
      <c r="O670" s="21" t="inlineStr"/>
      <c r="P670" s="21" t="inlineStr"/>
      <c r="Q670" s="21" t="inlineStr"/>
      <c r="R670" s="40" t="n">
        <v>9900</v>
      </c>
      <c r="S670" s="21" t="inlineStr">
        <is>
          <t>IR3 103</t>
        </is>
      </c>
      <c r="T670" s="21" t="inlineStr">
        <is>
          <t xml:space="preserve">The Alpha Class is the quintessential Full Body Conversion body – a high standard proven through time. An attractive yet affordable entry-level model, the Alpha Class is the first thing that comes to mind when you think </t>
        </is>
      </c>
    </row>
    <row r="671">
      <c r="A671" s="21" t="inlineStr">
        <is>
          <t>Trauma Team Kildare</t>
        </is>
      </c>
      <c r="B671" s="21" t="inlineStr">
        <is>
          <t>Кибернетика</t>
        </is>
      </c>
      <c r="C671" s="21" t="inlineStr">
        <is>
          <t>Full Body Conversion</t>
        </is>
      </c>
      <c r="D671" s="21" t="inlineStr"/>
      <c r="E671" s="21" t="inlineStr"/>
      <c r="F671" s="31" t="n"/>
      <c r="G671" s="31" t="n"/>
      <c r="H671" s="31" t="n"/>
      <c r="I671" s="31" t="n"/>
      <c r="J671" s="31" t="n">
        <v>0</v>
      </c>
      <c r="K671" s="31" t="n">
        <v>0</v>
      </c>
      <c r="L671" s="31" t="n">
        <v>0</v>
      </c>
      <c r="M671" s="31" t="n">
        <v>39</v>
      </c>
      <c r="N671" s="21" t="inlineStr">
        <is>
          <t>Hospital (Requires Biosystem)</t>
        </is>
      </c>
      <c r="O671" s="21" t="inlineStr"/>
      <c r="P671" s="21" t="inlineStr"/>
      <c r="Q671" s="21" t="inlineStr"/>
      <c r="R671" s="40" t="n">
        <v>12200</v>
      </c>
      <c r="S671" s="21" t="inlineStr">
        <is>
          <t>IR3 103</t>
        </is>
      </c>
      <c r="T671" s="21" t="inlineStr">
        <is>
          <t>Trauma Team’s secret weapon in their fight for the health and wellbeing of their patients, the Kildare, is a medical miracle. Their steady hands make them the best surgeons in the world. No human surgeon is as tireless i</t>
        </is>
      </c>
    </row>
    <row r="672">
      <c r="A672" s="21" t="inlineStr">
        <is>
          <t>Airhypo</t>
        </is>
      </c>
      <c r="B672" s="21" t="inlineStr">
        <is>
          <t>Снаряжение</t>
        </is>
      </c>
      <c r="C672" s="21" t="inlineStr">
        <is>
          <t>General</t>
        </is>
      </c>
      <c r="D672" s="21" t="inlineStr"/>
      <c r="E672" s="21" t="inlineStr"/>
      <c r="F672" s="31" t="n"/>
      <c r="G672" s="31" t="n"/>
      <c r="H672" s="31" t="n"/>
      <c r="I672" s="31" t="n"/>
      <c r="J672" s="31" t="n">
        <v>0</v>
      </c>
      <c r="K672" s="31" t="n">
        <v>0</v>
      </c>
      <c r="L672" s="31" t="n">
        <v>0</v>
      </c>
      <c r="M672" s="31" t="n">
        <v>0</v>
      </c>
      <c r="N672" s="21" t="inlineStr"/>
      <c r="O672" s="21" t="inlineStr"/>
      <c r="P672" s="21" t="inlineStr"/>
      <c r="Q672" s="21" t="inlineStr"/>
      <c r="R672" s="40" t="n">
        <v>50</v>
      </c>
      <c r="S672" s="21" t="inlineStr">
        <is>
          <t>CP:R 352</t>
        </is>
      </c>
      <c r="T672" s="21" t="inlineStr">
        <is>
          <t>Easy to use drug distribution platform which uses a quick burst of compressed air to force a drug through the skin. Allows user to use an Action to administer a single dose of a desired drug to a willing target, or try t</t>
        </is>
      </c>
    </row>
    <row r="673">
      <c r="A673" s="21" t="inlineStr">
        <is>
          <t>Anti-Smog Breathing Mask</t>
        </is>
      </c>
      <c r="B673" s="21" t="inlineStr">
        <is>
          <t>Снаряжение</t>
        </is>
      </c>
      <c r="C673" s="21" t="inlineStr">
        <is>
          <t>General</t>
        </is>
      </c>
      <c r="D673" s="21" t="inlineStr"/>
      <c r="E673" s="21" t="inlineStr"/>
      <c r="F673" s="31" t="n"/>
      <c r="G673" s="31" t="n"/>
      <c r="H673" s="31" t="n"/>
      <c r="I673" s="31" t="n"/>
      <c r="J673" s="31" t="n">
        <v>0</v>
      </c>
      <c r="K673" s="31" t="n">
        <v>0</v>
      </c>
      <c r="L673" s="31" t="n">
        <v>0</v>
      </c>
      <c r="M673" s="31" t="n">
        <v>0</v>
      </c>
      <c r="N673" s="21" t="inlineStr"/>
      <c r="O673" s="21" t="inlineStr"/>
      <c r="P673" s="21" t="inlineStr"/>
      <c r="Q673" s="21" t="inlineStr"/>
      <c r="R673" s="40" t="n">
        <v>20</v>
      </c>
      <c r="S673" s="21" t="inlineStr">
        <is>
          <t>CP:R 352</t>
        </is>
      </c>
      <c r="T673" s="21" t="inlineStr">
        <is>
          <t>Useful for filtering out toxins and smoke from the local environment. User is immune to the effects of toxic gasses, fumes, and all similar dangers that must be inhaled to affect the user.</t>
        </is>
      </c>
    </row>
    <row r="674">
      <c r="A674" s="21" t="inlineStr">
        <is>
          <t>Audio Recorder (Снаряжение)</t>
        </is>
      </c>
      <c r="B674" s="21" t="inlineStr">
        <is>
          <t>Снаряжение</t>
        </is>
      </c>
      <c r="C674" s="21" t="inlineStr">
        <is>
          <t>General</t>
        </is>
      </c>
      <c r="D674" s="21" t="inlineStr"/>
      <c r="E674" s="21" t="inlineStr"/>
      <c r="F674" s="31" t="n"/>
      <c r="G674" s="31" t="n"/>
      <c r="H674" s="31" t="n"/>
      <c r="I674" s="31" t="n"/>
      <c r="J674" s="31" t="n">
        <v>0</v>
      </c>
      <c r="K674" s="31" t="n">
        <v>0</v>
      </c>
      <c r="L674" s="31" t="n">
        <v>0</v>
      </c>
      <c r="M674" s="31" t="n">
        <v>0</v>
      </c>
      <c r="N674" s="21" t="inlineStr"/>
      <c r="O674" s="21" t="inlineStr"/>
      <c r="P674" s="21" t="inlineStr"/>
      <c r="Q674" s="21" t="inlineStr"/>
      <c r="R674" s="40" t="n">
        <v>100</v>
      </c>
      <c r="S674" s="21" t="inlineStr">
        <is>
          <t>CP:R 352</t>
        </is>
      </c>
      <c r="T674" s="21" t="inlineStr">
        <is>
          <t>Device records up to 24 hours of audio before its output fills up a standard Memory Chip stored in the device.</t>
        </is>
      </c>
    </row>
    <row r="675">
      <c r="A675" s="21" t="inlineStr">
        <is>
          <t>Authorization Handshake Port</t>
        </is>
      </c>
      <c r="B675" s="21" t="inlineStr">
        <is>
          <t>Снаряжение</t>
        </is>
      </c>
      <c r="C675" s="21" t="inlineStr">
        <is>
          <t>General</t>
        </is>
      </c>
      <c r="D675" s="21" t="inlineStr"/>
      <c r="E675" s="21" t="inlineStr"/>
      <c r="F675" s="31" t="n"/>
      <c r="G675" s="31" t="n"/>
      <c r="H675" s="31" t="n"/>
      <c r="I675" s="31" t="n"/>
      <c r="J675" s="31" t="n">
        <v>0</v>
      </c>
      <c r="K675" s="31" t="n">
        <v>0</v>
      </c>
      <c r="L675" s="31" t="n">
        <v>0</v>
      </c>
      <c r="M675" s="31" t="n">
        <v>0</v>
      </c>
      <c r="N675" s="21" t="inlineStr"/>
      <c r="O675" s="21" t="inlineStr"/>
      <c r="P675" s="21" t="inlineStr"/>
      <c r="Q675" s="21" t="inlineStr"/>
      <c r="R675" s="40" t="n">
        <v>100</v>
      </c>
      <c r="S675" s="21" t="inlineStr">
        <is>
          <t>IR5 122</t>
        </is>
      </c>
      <c r="T675" s="21" t="inlineStr">
        <is>
          <t>An Authorization Handshake Port can be installed onto any Assisted Combat Personal Armor or Linear Frame that requires Interface Plugs to operate. The Authorization Handshake Port prevents the armour from being used by a</t>
        </is>
      </c>
    </row>
    <row r="676">
      <c r="A676" s="21" t="inlineStr">
        <is>
          <t>Auto Ear Protectors</t>
        </is>
      </c>
      <c r="B676" s="21" t="inlineStr">
        <is>
          <t>Снаряжение</t>
        </is>
      </c>
      <c r="C676" s="21" t="inlineStr">
        <is>
          <t>General</t>
        </is>
      </c>
      <c r="D676" s="21" t="inlineStr"/>
      <c r="E676" s="21" t="inlineStr"/>
      <c r="F676" s="31" t="n"/>
      <c r="G676" s="31" t="n"/>
      <c r="H676" s="31" t="n"/>
      <c r="I676" s="31" t="n"/>
      <c r="J676" s="31" t="n">
        <v>0</v>
      </c>
      <c r="K676" s="31" t="n">
        <v>0</v>
      </c>
      <c r="L676" s="31" t="n">
        <v>0</v>
      </c>
      <c r="M676" s="31" t="n">
        <v>0</v>
      </c>
      <c r="N676" s="21" t="inlineStr"/>
      <c r="O676" s="21" t="inlineStr"/>
      <c r="P676" s="21" t="inlineStr"/>
      <c r="Q676" s="21" t="inlineStr"/>
      <c r="R676" s="40" t="n">
        <v>1000</v>
      </c>
      <c r="S676" s="21" t="inlineStr">
        <is>
          <t>CP:R 352</t>
        </is>
      </c>
      <c r="T676" s="21" t="inlineStr">
        <is>
          <t>Compact ear protection. When worn, user is immune to deafness or other effects caused by dangerously loud noises, like those produced by a flashbang.</t>
        </is>
      </c>
    </row>
    <row r="677">
      <c r="A677" s="21" t="inlineStr">
        <is>
          <t>Binary Compound</t>
        </is>
      </c>
      <c r="B677" s="21" t="inlineStr">
        <is>
          <t>Снаряжение</t>
        </is>
      </c>
      <c r="C677" s="21" t="inlineStr">
        <is>
          <t>General</t>
        </is>
      </c>
      <c r="D677" s="21" t="inlineStr"/>
      <c r="E677" s="21" t="inlineStr">
        <is>
          <t>6d6</t>
        </is>
      </c>
      <c r="F677" s="31" t="n"/>
      <c r="G677" s="31" t="n"/>
      <c r="H677" s="31" t="n"/>
      <c r="I677" s="31" t="n"/>
      <c r="J677" s="31" t="n">
        <v>0</v>
      </c>
      <c r="K677" s="31" t="n">
        <v>0</v>
      </c>
      <c r="L677" s="31" t="n">
        <v>0</v>
      </c>
      <c r="M677" s="31" t="n">
        <v>0</v>
      </c>
      <c r="N677" s="21" t="inlineStr"/>
      <c r="O677" s="21" t="inlineStr"/>
      <c r="P677" s="21" t="inlineStr"/>
      <c r="Q677" s="21" t="inlineStr"/>
      <c r="R677" s="40" t="n">
        <v>50</v>
      </c>
      <c r="S677" s="21" t="inlineStr">
        <is>
          <t>DL:GQ 5</t>
        </is>
      </c>
      <c r="T677" s="21" t="inlineStr">
        <is>
          <t xml:space="preserve">It takes 6 seconds (2 Rounds) to apply the Binary Compound to a 2 m/yd by 2 m/yd section of cover. Once it is applied, the Compound begins damaging the targeted section of cover at a rate of 6d6 damage per Round. If the </t>
        </is>
      </c>
    </row>
    <row r="678">
      <c r="A678" s="21" t="inlineStr">
        <is>
          <t>Binoculars</t>
        </is>
      </c>
      <c r="B678" s="21" t="inlineStr">
        <is>
          <t>Снаряжение</t>
        </is>
      </c>
      <c r="C678" s="21" t="inlineStr">
        <is>
          <t>General</t>
        </is>
      </c>
      <c r="D678" s="21" t="inlineStr"/>
      <c r="E678" s="21" t="inlineStr"/>
      <c r="F678" s="31" t="n"/>
      <c r="G678" s="31" t="n"/>
      <c r="H678" s="31" t="n"/>
      <c r="I678" s="31" t="n"/>
      <c r="J678" s="31" t="n">
        <v>0</v>
      </c>
      <c r="K678" s="31" t="n">
        <v>0</v>
      </c>
      <c r="L678" s="31" t="n">
        <v>0</v>
      </c>
      <c r="M678" s="31" t="n">
        <v>0</v>
      </c>
      <c r="N678" s="21" t="inlineStr"/>
      <c r="O678" s="21" t="inlineStr"/>
      <c r="P678" s="21" t="inlineStr"/>
      <c r="Q678" s="21" t="inlineStr"/>
      <c r="R678" s="40" t="n">
        <v>50</v>
      </c>
      <c r="S678" s="21" t="inlineStr">
        <is>
          <t>CP:R 352</t>
        </is>
      </c>
      <c r="T678" s="21" t="inlineStr">
        <is>
          <t>You look through them. They double or triple the size of what you are seeing.</t>
        </is>
      </c>
    </row>
    <row r="679">
      <c r="A679" s="21" t="inlineStr">
        <is>
          <t>Braindance Viewer</t>
        </is>
      </c>
      <c r="B679" s="21" t="inlineStr">
        <is>
          <t>Снаряжение</t>
        </is>
      </c>
      <c r="C679" s="21" t="inlineStr">
        <is>
          <t>General</t>
        </is>
      </c>
      <c r="D679" s="21" t="inlineStr"/>
      <c r="E679" s="21" t="inlineStr"/>
      <c r="F679" s="31" t="n"/>
      <c r="G679" s="31" t="n"/>
      <c r="H679" s="31" t="n"/>
      <c r="I679" s="31" t="n"/>
      <c r="J679" s="31" t="n">
        <v>0</v>
      </c>
      <c r="K679" s="31" t="n">
        <v>0</v>
      </c>
      <c r="L679" s="31" t="n">
        <v>0</v>
      </c>
      <c r="M679" s="31" t="n">
        <v>0</v>
      </c>
      <c r="N679" s="21" t="inlineStr"/>
      <c r="O679" s="21" t="inlineStr"/>
      <c r="P679" s="21" t="inlineStr"/>
      <c r="Q679" s="21" t="inlineStr"/>
      <c r="R679" s="40" t="n">
        <v>1000</v>
      </c>
      <c r="S679" s="21" t="inlineStr">
        <is>
          <t>CP:R 352</t>
        </is>
      </c>
      <c r="T679" s="21" t="inlineStr">
        <is>
          <t>Allows the user to experience braindance content. Braindances are digital recordings of an experience which you view through the eyes of the actor. The experience includes all the subject's senses, and you feel every emo</t>
        </is>
      </c>
    </row>
    <row r="680">
      <c r="A680" s="21" t="inlineStr">
        <is>
          <t>Branded Jumpsuit Variable</t>
        </is>
      </c>
      <c r="B680" s="21" t="inlineStr">
        <is>
          <t>Снаряжение</t>
        </is>
      </c>
      <c r="C680" s="21" t="inlineStr">
        <is>
          <t>General</t>
        </is>
      </c>
      <c r="D680" s="21" t="inlineStr"/>
      <c r="E680" s="21" t="inlineStr"/>
      <c r="F680" s="31" t="n"/>
      <c r="G680" s="31" t="n"/>
      <c r="H680" s="31" t="n"/>
      <c r="I680" s="31" t="n"/>
      <c r="J680" s="31" t="n">
        <v>0</v>
      </c>
      <c r="K680" s="31" t="n">
        <v>0</v>
      </c>
      <c r="L680" s="31" t="n">
        <v>0</v>
      </c>
      <c r="M680" s="31" t="n">
        <v>0</v>
      </c>
      <c r="N680" s="21" t="inlineStr"/>
      <c r="O680" s="21" t="inlineStr"/>
      <c r="P680" s="21" t="inlineStr"/>
      <c r="Q680" s="21" t="inlineStr"/>
      <c r="R680" s="40" t="n">
        <v>50</v>
      </c>
      <c r="S680" s="21" t="inlineStr">
        <is>
          <t>DL:GQ 5</t>
        </is>
      </c>
      <c r="T680" s="21" t="inlineStr">
        <is>
          <t>Forget Ghostsuits. The easiest way to keep invisible in most surroundings is to look like you belong. Get the right color jumpsuit fitted with the proper patches, and most people won’t even give you a second peep. A jump</t>
        </is>
      </c>
    </row>
    <row r="681">
      <c r="A681" s="21" t="inlineStr">
        <is>
          <t>Bug Detector (Снаряжение)</t>
        </is>
      </c>
      <c r="B681" s="21" t="inlineStr">
        <is>
          <t>Снаряжение</t>
        </is>
      </c>
      <c r="C681" s="21" t="inlineStr">
        <is>
          <t>General</t>
        </is>
      </c>
      <c r="D681" s="21" t="inlineStr"/>
      <c r="E681" s="21" t="inlineStr"/>
      <c r="F681" s="31" t="n"/>
      <c r="G681" s="31" t="n"/>
      <c r="H681" s="31" t="n"/>
      <c r="I681" s="31" t="n"/>
      <c r="J681" s="31" t="n">
        <v>0</v>
      </c>
      <c r="K681" s="31" t="n">
        <v>0</v>
      </c>
      <c r="L681" s="31" t="n">
        <v>0</v>
      </c>
      <c r="M681" s="31" t="n">
        <v>0</v>
      </c>
      <c r="N681" s="21" t="inlineStr"/>
      <c r="O681" s="21" t="inlineStr"/>
      <c r="P681" s="21" t="inlineStr"/>
      <c r="Q681" s="21" t="inlineStr"/>
      <c r="R681" s="40" t="n">
        <v>500</v>
      </c>
      <c r="S681" s="21" t="inlineStr">
        <is>
          <t>CP:R 352</t>
        </is>
      </c>
      <c r="T681" s="21" t="inlineStr">
        <is>
          <t>Device beeps when user is within 2m/yds of a tap, bug, or other listening device.</t>
        </is>
      </c>
    </row>
    <row r="682">
      <c r="A682" s="21" t="inlineStr">
        <is>
          <t>Carryall</t>
        </is>
      </c>
      <c r="B682" s="21" t="inlineStr">
        <is>
          <t>Снаряжение</t>
        </is>
      </c>
      <c r="C682" s="21" t="inlineStr">
        <is>
          <t>General</t>
        </is>
      </c>
      <c r="D682" s="21" t="inlineStr"/>
      <c r="E682" s="21" t="inlineStr"/>
      <c r="F682" s="31" t="n"/>
      <c r="G682" s="31" t="n"/>
      <c r="H682" s="31" t="n"/>
      <c r="I682" s="31" t="n"/>
      <c r="J682" s="31" t="n">
        <v>0</v>
      </c>
      <c r="K682" s="31" t="n">
        <v>0</v>
      </c>
      <c r="L682" s="31" t="n">
        <v>0</v>
      </c>
      <c r="M682" s="31" t="n">
        <v>0</v>
      </c>
      <c r="N682" s="21" t="inlineStr"/>
      <c r="O682" s="21" t="inlineStr"/>
      <c r="P682" s="21" t="inlineStr"/>
      <c r="Q682" s="21" t="inlineStr"/>
      <c r="R682" s="40" t="n">
        <v>20</v>
      </c>
      <c r="S682" s="21" t="inlineStr">
        <is>
          <t>CP:R 352</t>
        </is>
      </c>
      <c r="T682" s="21" t="inlineStr">
        <is>
          <t>Heavy ripstop nylon bags of varying sizes, from messenger to nearly man-sized duffel bags.</t>
        </is>
      </c>
    </row>
    <row r="683">
      <c r="A683" s="21" t="inlineStr">
        <is>
          <t>Chemical Analyzer (Снаряжение)</t>
        </is>
      </c>
      <c r="B683" s="21" t="inlineStr">
        <is>
          <t>Снаряжение</t>
        </is>
      </c>
      <c r="C683" s="21" t="inlineStr">
        <is>
          <t>General</t>
        </is>
      </c>
      <c r="D683" s="21" t="inlineStr"/>
      <c r="E683" s="21" t="inlineStr"/>
      <c r="F683" s="31" t="n"/>
      <c r="G683" s="31" t="n"/>
      <c r="H683" s="31" t="n"/>
      <c r="I683" s="31" t="n"/>
      <c r="J683" s="31" t="n">
        <v>0</v>
      </c>
      <c r="K683" s="31" t="n">
        <v>0</v>
      </c>
      <c r="L683" s="31" t="n">
        <v>0</v>
      </c>
      <c r="M683" s="31" t="n">
        <v>0</v>
      </c>
      <c r="N683" s="21" t="inlineStr"/>
      <c r="O683" s="21" t="inlineStr"/>
      <c r="P683" s="21" t="inlineStr"/>
      <c r="Q683" s="21" t="inlineStr"/>
      <c r="R683" s="40" t="n">
        <v>1000</v>
      </c>
      <c r="S683" s="21" t="inlineStr">
        <is>
          <t>CP:R 352</t>
        </is>
      </c>
      <c r="T683" s="21" t="inlineStr">
        <is>
          <t>Can test substances as an Action to find their precise chemical composition, identifying most substances instantly from a wide database of samples.</t>
        </is>
      </c>
    </row>
    <row r="684">
      <c r="A684" s="21" t="inlineStr">
        <is>
          <t>ChipVault by SecSystems</t>
        </is>
      </c>
      <c r="B684" s="21" t="inlineStr">
        <is>
          <t>Снаряжение</t>
        </is>
      </c>
      <c r="C684" s="21" t="inlineStr">
        <is>
          <t>General</t>
        </is>
      </c>
      <c r="D684" s="21" t="inlineStr"/>
      <c r="E684" s="21" t="inlineStr"/>
      <c r="F684" s="31" t="n"/>
      <c r="G684" s="31" t="n"/>
      <c r="H684" s="31" t="n"/>
      <c r="I684" s="31" t="n"/>
      <c r="J684" s="31" t="n">
        <v>0</v>
      </c>
      <c r="K684" s="31" t="n">
        <v>0</v>
      </c>
      <c r="L684" s="31" t="n">
        <v>0</v>
      </c>
      <c r="M684" s="31" t="n">
        <v>0</v>
      </c>
      <c r="N684" s="21" t="inlineStr"/>
      <c r="O684" s="21" t="inlineStr"/>
      <c r="P684" s="21" t="inlineStr"/>
      <c r="Q684" s="21" t="inlineStr"/>
      <c r="R684" s="40" t="n">
        <v>100</v>
      </c>
      <c r="S684" s="21" t="inlineStr">
        <is>
          <t>BC 44</t>
        </is>
      </c>
      <c r="T684" s="21" t="inlineStr">
        <is>
          <t>Transporting Chipware can be a challenge, especially when someone is looking to steal it. SecSystems offers a solution with their ChipVault: a reinforced, moisture-free environment protected by the security of a biometri</t>
        </is>
      </c>
    </row>
    <row r="685">
      <c r="A685" s="21" t="inlineStr">
        <is>
          <t>Computer</t>
        </is>
      </c>
      <c r="B685" s="21" t="inlineStr">
        <is>
          <t>Снаряжение</t>
        </is>
      </c>
      <c r="C685" s="21" t="inlineStr">
        <is>
          <t>General</t>
        </is>
      </c>
      <c r="D685" s="21" t="inlineStr"/>
      <c r="E685" s="21" t="inlineStr"/>
      <c r="F685" s="31" t="n"/>
      <c r="G685" s="31" t="n"/>
      <c r="H685" s="31" t="n"/>
      <c r="I685" s="31" t="n"/>
      <c r="J685" s="31" t="n">
        <v>0</v>
      </c>
      <c r="K685" s="31" t="n">
        <v>0</v>
      </c>
      <c r="L685" s="31" t="n">
        <v>0</v>
      </c>
      <c r="M685" s="31" t="n">
        <v>0</v>
      </c>
      <c r="N685" s="21" t="inlineStr"/>
      <c r="O685" s="21" t="inlineStr"/>
      <c r="P685" s="21" t="inlineStr"/>
      <c r="Q685" s="21" t="inlineStr"/>
      <c r="R685" s="40" t="n">
        <v>50</v>
      </c>
      <c r="S685" s="21" t="inlineStr">
        <is>
          <t>CP:R 352</t>
        </is>
      </c>
      <c r="T685" s="21" t="inlineStr">
        <is>
          <t>Laptop or desktop computer, used mostly for comfortable word processing and surfing the Data Pool.</t>
        </is>
      </c>
    </row>
    <row r="686">
      <c r="A686" s="21" t="inlineStr">
        <is>
          <t>Concealment Sleeve</t>
        </is>
      </c>
      <c r="B686" s="21" t="inlineStr">
        <is>
          <t>Снаряжение</t>
        </is>
      </c>
      <c r="C686" s="21" t="inlineStr">
        <is>
          <t>General</t>
        </is>
      </c>
      <c r="D686" s="21" t="inlineStr"/>
      <c r="E686" s="21" t="inlineStr"/>
      <c r="F686" s="31" t="n"/>
      <c r="G686" s="31" t="n"/>
      <c r="H686" s="31" t="n"/>
      <c r="I686" s="31" t="n"/>
      <c r="J686" s="31" t="n">
        <v>0</v>
      </c>
      <c r="K686" s="31" t="n">
        <v>0</v>
      </c>
      <c r="L686" s="31" t="n">
        <v>0</v>
      </c>
      <c r="M686" s="31" t="n">
        <v>0</v>
      </c>
      <c r="N686" s="21" t="inlineStr"/>
      <c r="O686" s="21" t="inlineStr"/>
      <c r="P686" s="21" t="inlineStr"/>
      <c r="Q686" s="21" t="inlineStr"/>
      <c r="R686" s="40" t="n">
        <v>500</v>
      </c>
      <c r="S686" s="21" t="inlineStr">
        <is>
          <t>DL:GQ 5</t>
        </is>
      </c>
      <c r="T686" s="21" t="inlineStr">
        <is>
          <t xml:space="preserve">You’ve got to sneak into a Corporate joint and extract a target. For that, you’ll need weapons and tools. You might be thinking, if the gear’s inside my chrome, security will miss it, right? Wrong! Plenty of Corps shell </t>
        </is>
      </c>
    </row>
    <row r="687">
      <c r="A687" s="21" t="inlineStr">
        <is>
          <t>Cryopump</t>
        </is>
      </c>
      <c r="B687" s="21" t="inlineStr">
        <is>
          <t>Снаряжение</t>
        </is>
      </c>
      <c r="C687" s="21" t="inlineStr">
        <is>
          <t>General</t>
        </is>
      </c>
      <c r="D687" s="21" t="inlineStr"/>
      <c r="E687" s="21" t="inlineStr"/>
      <c r="F687" s="31" t="n"/>
      <c r="G687" s="31" t="n"/>
      <c r="H687" s="31" t="n"/>
      <c r="I687" s="31" t="n"/>
      <c r="J687" s="31" t="n">
        <v>0</v>
      </c>
      <c r="K687" s="31" t="n">
        <v>0</v>
      </c>
      <c r="L687" s="31" t="n">
        <v>0</v>
      </c>
      <c r="M687" s="31" t="n">
        <v>0</v>
      </c>
      <c r="N687" s="21" t="inlineStr"/>
      <c r="O687" s="21" t="inlineStr"/>
      <c r="P687" s="21" t="inlineStr"/>
      <c r="Q687" s="21" t="inlineStr"/>
      <c r="R687" s="40" t="n">
        <v>5000</v>
      </c>
      <c r="S687" s="21" t="inlineStr">
        <is>
          <t>CP:R 353</t>
        </is>
      </c>
      <c r="T687" s="21" t="inlineStr">
        <is>
          <t>A Cryopump is a briefcase-sized tool containing a body bag hooked up to a powerful pump. Once willing/unconscious targets have been placed into the bag and hooked up to the pump as an Action, the pump forces a hyper-cool</t>
        </is>
      </c>
    </row>
    <row r="688">
      <c r="A688" s="21" t="inlineStr">
        <is>
          <t>Cryotank</t>
        </is>
      </c>
      <c r="B688" s="21" t="inlineStr">
        <is>
          <t>Снаряжение</t>
        </is>
      </c>
      <c r="C688" s="21" t="inlineStr">
        <is>
          <t>General</t>
        </is>
      </c>
      <c r="D688" s="21" t="inlineStr"/>
      <c r="E688" s="21" t="inlineStr"/>
      <c r="F688" s="31" t="n"/>
      <c r="G688" s="31" t="n"/>
      <c r="H688" s="31" t="n"/>
      <c r="I688" s="31" t="n"/>
      <c r="J688" s="31" t="n">
        <v>0</v>
      </c>
      <c r="K688" s="31" t="n">
        <v>0</v>
      </c>
      <c r="L688" s="31" t="n">
        <v>0</v>
      </c>
      <c r="M688" s="31" t="n">
        <v>0</v>
      </c>
      <c r="N688" s="21" t="inlineStr"/>
      <c r="O688" s="21" t="inlineStr"/>
      <c r="P688" s="21" t="inlineStr"/>
      <c r="Q688" s="21" t="inlineStr"/>
      <c r="R688" s="40" t="n">
        <v>5000</v>
      </c>
      <c r="S688" s="21" t="inlineStr">
        <is>
          <t>CP:R 353</t>
        </is>
      </c>
      <c r="T688" s="21" t="inlineStr">
        <is>
          <t xml:space="preserve">A Cryotank is a human-sized container which can hold a fully grown adult. Assuming the Medtech succeeds at a DV13 Medical Tech Check, the Cryotank keeps 1 person in stasis as long as desired. While in the Cryotank, they </t>
        </is>
      </c>
    </row>
    <row r="689">
      <c r="A689" s="21" t="inlineStr">
        <is>
          <t>Cybercam EX-1</t>
        </is>
      </c>
      <c r="B689" s="21" t="inlineStr">
        <is>
          <t>Снаряжение</t>
        </is>
      </c>
      <c r="C689" s="21" t="inlineStr">
        <is>
          <t>General</t>
        </is>
      </c>
      <c r="D689" s="21" t="inlineStr"/>
      <c r="E689" s="21" t="inlineStr"/>
      <c r="F689" s="31" t="n"/>
      <c r="G689" s="31" t="n"/>
      <c r="H689" s="31" t="n"/>
      <c r="I689" s="31" t="n"/>
      <c r="J689" s="31" t="n">
        <v>0</v>
      </c>
      <c r="K689" s="31" t="n">
        <v>0</v>
      </c>
      <c r="L689" s="31" t="n">
        <v>0</v>
      </c>
      <c r="M689" s="31" t="n">
        <v>0</v>
      </c>
      <c r="N689" s="21" t="inlineStr"/>
      <c r="O689" s="21" t="inlineStr"/>
      <c r="P689" s="21" t="inlineStr"/>
      <c r="Q689" s="21" t="inlineStr"/>
      <c r="R689" s="40" t="n">
        <v>1000</v>
      </c>
      <c r="S689" s="21" t="inlineStr">
        <is>
          <t>DL:12Gear 2 · IR4 66</t>
        </is>
      </c>
      <c r="T689" s="21" t="inlineStr">
        <is>
          <t>The ultimate camera for a one-person news crew! The Raven MicroCybernetics Cybercam EX-1 not only records crisp, clear video and audio but intelligently adds preloaded graphics, logos, and sound effects before livecastin</t>
        </is>
      </c>
    </row>
    <row r="690">
      <c r="A690" s="21" t="inlineStr">
        <is>
          <t>Cyberscanner</t>
        </is>
      </c>
      <c r="B690" s="21" t="inlineStr">
        <is>
          <t>Снаряжение</t>
        </is>
      </c>
      <c r="C690" s="21" t="inlineStr">
        <is>
          <t>General</t>
        </is>
      </c>
      <c r="D690" s="21" t="inlineStr"/>
      <c r="E690" s="21" t="inlineStr"/>
      <c r="F690" s="31" t="n"/>
      <c r="G690" s="31" t="n"/>
      <c r="H690" s="31" t="n"/>
      <c r="I690" s="31" t="n"/>
      <c r="J690" s="31" t="n">
        <v>0</v>
      </c>
      <c r="K690" s="31" t="n">
        <v>0</v>
      </c>
      <c r="L690" s="31" t="n">
        <v>0</v>
      </c>
      <c r="M690" s="31" t="n">
        <v>0</v>
      </c>
      <c r="N690" s="21" t="inlineStr"/>
      <c r="O690" s="21" t="inlineStr"/>
      <c r="P690" s="21" t="inlineStr"/>
      <c r="Q690" s="21" t="inlineStr"/>
      <c r="R690" s="40" t="n">
        <v>1000</v>
      </c>
      <c r="S690" s="21" t="inlineStr">
        <is>
          <t>DL:12Gear 2 · IR4 66</t>
        </is>
      </c>
      <c r="T690" s="21" t="inlineStr">
        <is>
          <t>A classic tool of both bouncers and cops alike, Cyberscanners haven’t changed much in the last twenty years. Wave the double-pronged wand around the target and a combination of sonic and magnetic resonance allows the rea</t>
        </is>
      </c>
    </row>
    <row r="691">
      <c r="A691" s="21" t="inlineStr">
        <is>
          <t>Disposable Cellphone</t>
        </is>
      </c>
      <c r="B691" s="21" t="inlineStr">
        <is>
          <t>Снаряжение</t>
        </is>
      </c>
      <c r="C691" s="21" t="inlineStr">
        <is>
          <t>General</t>
        </is>
      </c>
      <c r="D691" s="21" t="inlineStr"/>
      <c r="E691" s="21" t="inlineStr"/>
      <c r="F691" s="31" t="n"/>
      <c r="G691" s="31" t="n"/>
      <c r="H691" s="31" t="n"/>
      <c r="I691" s="31" t="n"/>
      <c r="J691" s="31" t="n">
        <v>0</v>
      </c>
      <c r="K691" s="31" t="n">
        <v>0</v>
      </c>
      <c r="L691" s="31" t="n">
        <v>0</v>
      </c>
      <c r="M691" s="31" t="n">
        <v>0</v>
      </c>
      <c r="N691" s="21" t="inlineStr"/>
      <c r="O691" s="21" t="inlineStr"/>
      <c r="P691" s="21" t="inlineStr"/>
      <c r="Q691" s="21" t="inlineStr"/>
      <c r="R691" s="40" t="n">
        <v>50</v>
      </c>
      <c r="S691" s="21" t="inlineStr">
        <is>
          <t>CP:R 353</t>
        </is>
      </c>
      <c r="T691" s="21" t="inlineStr">
        <is>
          <t>There are still billions of the things around. A good choice for Fixers and other people who don't want to be tracked.</t>
        </is>
      </c>
    </row>
    <row r="692">
      <c r="A692" s="21" t="inlineStr">
        <is>
          <t>DPI Smartsticks</t>
        </is>
      </c>
      <c r="B692" s="21" t="inlineStr">
        <is>
          <t>Снаряжение</t>
        </is>
      </c>
      <c r="C692" s="21" t="inlineStr">
        <is>
          <t>General</t>
        </is>
      </c>
      <c r="D692" s="21" t="inlineStr"/>
      <c r="E692" s="21" t="inlineStr"/>
      <c r="F692" s="31" t="n"/>
      <c r="G692" s="31" t="n"/>
      <c r="H692" s="31" t="n"/>
      <c r="I692" s="31" t="n"/>
      <c r="J692" s="31" t="n">
        <v>0</v>
      </c>
      <c r="K692" s="31" t="n">
        <v>0</v>
      </c>
      <c r="L692" s="31" t="n">
        <v>0</v>
      </c>
      <c r="M692" s="31" t="n">
        <v>0</v>
      </c>
      <c r="N692" s="21" t="inlineStr"/>
      <c r="O692" s="21" t="inlineStr"/>
      <c r="P692" s="21" t="inlineStr"/>
      <c r="Q692" s="21" t="inlineStr"/>
      <c r="R692" s="40" t="n">
        <v>500</v>
      </c>
      <c r="S692" s="21" t="inlineStr">
        <is>
          <t>DL:12Gear 2 · IR4 66</t>
        </is>
      </c>
      <c r="T692" s="21" t="inlineStr">
        <is>
          <t>Turn any surface into a drum kit with Smartsticks! Feel the rhythm through haptic feedback and the bass of the onboard subwoofer! Let your passion flow through the synthesizer! Drum the world! The DPI Smartsticks gives i</t>
        </is>
      </c>
    </row>
    <row r="693">
      <c r="A693" s="21" t="inlineStr">
        <is>
          <t>Drum Synthesizer</t>
        </is>
      </c>
      <c r="B693" s="21" t="inlineStr">
        <is>
          <t>Снаряжение</t>
        </is>
      </c>
      <c r="C693" s="21" t="inlineStr">
        <is>
          <t>General</t>
        </is>
      </c>
      <c r="D693" s="21" t="inlineStr"/>
      <c r="E693" s="21" t="inlineStr"/>
      <c r="F693" s="31" t="n"/>
      <c r="G693" s="31" t="n"/>
      <c r="H693" s="31" t="n"/>
      <c r="I693" s="31" t="n"/>
      <c r="J693" s="31" t="n">
        <v>0</v>
      </c>
      <c r="K693" s="31" t="n">
        <v>0</v>
      </c>
      <c r="L693" s="31" t="n">
        <v>0</v>
      </c>
      <c r="M693" s="31" t="n">
        <v>0</v>
      </c>
      <c r="N693" s="21" t="inlineStr"/>
      <c r="O693" s="21" t="inlineStr"/>
      <c r="P693" s="21" t="inlineStr"/>
      <c r="Q693" s="21" t="inlineStr"/>
      <c r="R693" s="40" t="n">
        <v>500</v>
      </c>
      <c r="S693" s="21" t="inlineStr">
        <is>
          <t>CP:R 353</t>
        </is>
      </c>
      <c r="T693" s="21" t="inlineStr">
        <is>
          <t>Flat plastic pads of varying sizes, linked by cables to a central processor. Can simulate almost any kind of drum. Requires some type of amplification to be heard</t>
        </is>
      </c>
    </row>
    <row r="694">
      <c r="A694" s="21" t="inlineStr">
        <is>
          <t>Duct Tape</t>
        </is>
      </c>
      <c r="B694" s="21" t="inlineStr">
        <is>
          <t>Снаряжение</t>
        </is>
      </c>
      <c r="C694" s="21" t="inlineStr">
        <is>
          <t>General</t>
        </is>
      </c>
      <c r="D694" s="21" t="inlineStr"/>
      <c r="E694" s="21" t="inlineStr"/>
      <c r="F694" s="31" t="n"/>
      <c r="G694" s="31" t="n"/>
      <c r="H694" s="31" t="n"/>
      <c r="I694" s="31" t="n"/>
      <c r="J694" s="31" t="n">
        <v>0</v>
      </c>
      <c r="K694" s="31" t="n">
        <v>0</v>
      </c>
      <c r="L694" s="31" t="n">
        <v>0</v>
      </c>
      <c r="M694" s="31" t="n">
        <v>0</v>
      </c>
      <c r="N694" s="21" t="inlineStr"/>
      <c r="O694" s="21" t="inlineStr"/>
      <c r="P694" s="21" t="inlineStr"/>
      <c r="Q694" s="21" t="inlineStr"/>
      <c r="R694" s="40" t="n">
        <v>20</v>
      </c>
      <c r="S694" s="21" t="inlineStr">
        <is>
          <t>CP:R 353</t>
        </is>
      </c>
      <c r="T694" s="21" t="inlineStr">
        <is>
          <t>Comes in many colors and optionally can glow in the dark. Glowing duct tape is often used to mark tunnels, dead drops, or caches. It glows in the dark even if there has been no light exposure.</t>
        </is>
      </c>
    </row>
    <row r="695">
      <c r="A695" s="21" t="inlineStr">
        <is>
          <t>Electric Guitar/Instrument</t>
        </is>
      </c>
      <c r="B695" s="21" t="inlineStr">
        <is>
          <t>Снаряжение</t>
        </is>
      </c>
      <c r="C695" s="21" t="inlineStr">
        <is>
          <t>General</t>
        </is>
      </c>
      <c r="D695" s="21" t="inlineStr"/>
      <c r="E695" s="21" t="inlineStr"/>
      <c r="F695" s="31" t="n"/>
      <c r="G695" s="31" t="n"/>
      <c r="H695" s="31" t="n"/>
      <c r="I695" s="31" t="n"/>
      <c r="J695" s="31" t="n">
        <v>0</v>
      </c>
      <c r="K695" s="31" t="n">
        <v>0</v>
      </c>
      <c r="L695" s="31" t="n">
        <v>0</v>
      </c>
      <c r="M695" s="31" t="n">
        <v>0</v>
      </c>
      <c r="N695" s="21" t="inlineStr"/>
      <c r="O695" s="21" t="inlineStr"/>
      <c r="P695" s="21" t="inlineStr"/>
      <c r="Q695" s="21" t="inlineStr"/>
      <c r="R695" s="40" t="n">
        <v>500</v>
      </c>
      <c r="S695" s="21" t="inlineStr">
        <is>
          <t>CP:R 353</t>
        </is>
      </c>
      <c r="T695" s="21" t="inlineStr">
        <is>
          <t>Use your imagination. But remember that you will need an amp to be heard with any electronic-based instrument.</t>
        </is>
      </c>
    </row>
    <row r="696">
      <c r="A696" s="21" t="inlineStr">
        <is>
          <t>Esporma Environment Suit</t>
        </is>
      </c>
      <c r="B696" s="21" t="inlineStr">
        <is>
          <t>Снаряжение</t>
        </is>
      </c>
      <c r="C696" s="21" t="inlineStr">
        <is>
          <t>General</t>
        </is>
      </c>
      <c r="D696" s="21" t="inlineStr"/>
      <c r="E696" s="21" t="inlineStr"/>
      <c r="F696" s="31" t="n"/>
      <c r="G696" s="31" t="n"/>
      <c r="H696" s="31" t="n"/>
      <c r="I696" s="31" t="n"/>
      <c r="J696" s="31" t="n">
        <v>0</v>
      </c>
      <c r="K696" s="31" t="n">
        <v>0</v>
      </c>
      <c r="L696" s="31" t="n">
        <v>0</v>
      </c>
      <c r="M696" s="31" t="n">
        <v>0</v>
      </c>
      <c r="N696" s="21" t="inlineStr"/>
      <c r="O696" s="21" t="inlineStr"/>
      <c r="P696" s="21" t="inlineStr"/>
      <c r="Q696" s="21" t="inlineStr"/>
      <c r="R696" s="40" t="n">
        <v>5000</v>
      </c>
      <c r="S696" s="21" t="inlineStr">
        <is>
          <t>DL:12Gear 3 · IR4 67</t>
        </is>
      </c>
      <c r="T696" s="21" t="inlineStr">
        <is>
          <t xml:space="preserve">The Esporma Environment Suit is a must for any situation that may include poisonous gasses, bioweapons, or radiation. All seams are magnetically sealed and air-tight. With an internal oxygen supply, the wearer can enter </t>
        </is>
      </c>
    </row>
    <row r="697">
      <c r="A697" s="21" t="inlineStr">
        <is>
          <t>E VentureWare AirWell 50</t>
        </is>
      </c>
      <c r="B697" s="21" t="inlineStr">
        <is>
          <t>Снаряжение</t>
        </is>
      </c>
      <c r="C697" s="21" t="inlineStr">
        <is>
          <t>General</t>
        </is>
      </c>
      <c r="D697" s="21" t="inlineStr"/>
      <c r="E697" s="21" t="inlineStr"/>
      <c r="F697" s="31" t="n"/>
      <c r="G697" s="31" t="n"/>
      <c r="H697" s="31" t="n"/>
      <c r="I697" s="31" t="n"/>
      <c r="J697" s="31" t="n">
        <v>0</v>
      </c>
      <c r="K697" s="31" t="n">
        <v>0</v>
      </c>
      <c r="L697" s="31" t="n">
        <v>0</v>
      </c>
      <c r="M697" s="31" t="n">
        <v>0</v>
      </c>
      <c r="N697" s="21" t="inlineStr"/>
      <c r="O697" s="21" t="inlineStr"/>
      <c r="P697" s="21" t="inlineStr"/>
      <c r="Q697" s="21" t="inlineStr"/>
      <c r="R697" s="40" t="n">
        <v>100</v>
      </c>
      <c r="S697" s="21" t="inlineStr">
        <is>
          <t>BC 48</t>
        </is>
      </c>
      <c r="T697" s="21" t="inlineStr">
        <is>
          <t>The Everest VentureWare AirWell 50 draws moisture from the atmosphere and converts it into drinkable water, making it ideal for long trips where water might be in short supply. The device is cylindrical and equipped with</t>
        </is>
      </c>
    </row>
    <row r="698">
      <c r="A698" s="21" t="inlineStr">
        <is>
          <t>E VentureWare 1 Touch Habitat</t>
        </is>
      </c>
      <c r="B698" s="21" t="inlineStr">
        <is>
          <t>Снаряжение</t>
        </is>
      </c>
      <c r="C698" s="21" t="inlineStr">
        <is>
          <t>General</t>
        </is>
      </c>
      <c r="D698" s="21" t="inlineStr"/>
      <c r="E698" s="21" t="inlineStr"/>
      <c r="F698" s="31" t="n"/>
      <c r="G698" s="31" t="n"/>
      <c r="H698" s="31" t="n"/>
      <c r="I698" s="31" t="n"/>
      <c r="J698" s="31" t="n">
        <v>0</v>
      </c>
      <c r="K698" s="31" t="n">
        <v>0</v>
      </c>
      <c r="L698" s="31" t="n">
        <v>0</v>
      </c>
      <c r="M698" s="31" t="n">
        <v>0</v>
      </c>
      <c r="N698" s="21" t="inlineStr"/>
      <c r="O698" s="21" t="inlineStr"/>
      <c r="P698" s="21" t="inlineStr"/>
      <c r="Q698" s="21" t="inlineStr"/>
      <c r="R698" s="40" t="n">
        <v>100</v>
      </c>
      <c r="S698" s="21" t="inlineStr">
        <is>
          <t>BC 48</t>
        </is>
      </c>
      <c r="T698" s="21" t="inlineStr">
        <is>
          <t>When it comes to the evolution of camping equipment, Everest VentureWare has cornered the market. Crafted from AW-003 nylon, their One Touch Habitat (OTH) can withstand extreme climates and boasts a durable carbon compos</t>
        </is>
      </c>
    </row>
    <row r="699">
      <c r="A699" s="21" t="inlineStr">
        <is>
          <t>Flashlight</t>
        </is>
      </c>
      <c r="B699" s="21" t="inlineStr">
        <is>
          <t>Снаряжение</t>
        </is>
      </c>
      <c r="C699" s="21" t="inlineStr">
        <is>
          <t>General</t>
        </is>
      </c>
      <c r="D699" s="21" t="inlineStr"/>
      <c r="E699" s="21" t="inlineStr"/>
      <c r="F699" s="31" t="n"/>
      <c r="G699" s="31" t="n"/>
      <c r="H699" s="31" t="n"/>
      <c r="I699" s="31" t="n"/>
      <c r="J699" s="31" t="n">
        <v>0</v>
      </c>
      <c r="K699" s="31" t="n">
        <v>0</v>
      </c>
      <c r="L699" s="31" t="n">
        <v>0</v>
      </c>
      <c r="M699" s="31" t="n">
        <v>0</v>
      </c>
      <c r="N699" s="21" t="inlineStr"/>
      <c r="O699" s="21" t="inlineStr"/>
      <c r="P699" s="21" t="inlineStr"/>
      <c r="Q699" s="21" t="inlineStr"/>
      <c r="R699" s="40" t="n">
        <v>20</v>
      </c>
      <c r="S699" s="21" t="inlineStr">
        <is>
          <t>CP:R 353</t>
        </is>
      </c>
      <c r="T699" s="21" t="inlineStr">
        <is>
          <t>Rechargeable. 100m/yd beam, lasts up to 10 hours on a charge.</t>
        </is>
      </c>
    </row>
    <row r="700">
      <c r="A700" s="21" t="inlineStr">
        <is>
          <t>Glow Paint</t>
        </is>
      </c>
      <c r="B700" s="21" t="inlineStr">
        <is>
          <t>Снаряжение</t>
        </is>
      </c>
      <c r="C700" s="21" t="inlineStr">
        <is>
          <t>General</t>
        </is>
      </c>
      <c r="D700" s="21" t="inlineStr"/>
      <c r="E700" s="21" t="inlineStr"/>
      <c r="F700" s="31" t="n"/>
      <c r="G700" s="31" t="n"/>
      <c r="H700" s="31" t="n"/>
      <c r="I700" s="31" t="n"/>
      <c r="J700" s="31" t="n">
        <v>0</v>
      </c>
      <c r="K700" s="31" t="n">
        <v>0</v>
      </c>
      <c r="L700" s="31" t="n">
        <v>0</v>
      </c>
      <c r="M700" s="31" t="n">
        <v>0</v>
      </c>
      <c r="N700" s="21" t="inlineStr"/>
      <c r="O700" s="21" t="inlineStr"/>
      <c r="P700" s="21" t="inlineStr"/>
      <c r="Q700" s="21" t="inlineStr"/>
      <c r="R700" s="40" t="n">
        <v>20</v>
      </c>
      <c r="S700" s="21" t="inlineStr">
        <is>
          <t>CP:R 353</t>
        </is>
      </c>
      <c r="T700" s="21" t="inlineStr">
        <is>
          <t>Glow in the dark paint for marking locations and creating art. Comes in a spray can. Also good for tagging.</t>
        </is>
      </c>
    </row>
    <row r="701">
      <c r="A701" s="21" t="inlineStr">
        <is>
          <t>Glow Stick</t>
        </is>
      </c>
      <c r="B701" s="21" t="inlineStr">
        <is>
          <t>Снаряжение</t>
        </is>
      </c>
      <c r="C701" s="21" t="inlineStr">
        <is>
          <t>General</t>
        </is>
      </c>
      <c r="D701" s="21" t="inlineStr"/>
      <c r="E701" s="21" t="inlineStr"/>
      <c r="F701" s="31" t="n"/>
      <c r="G701" s="31" t="n"/>
      <c r="H701" s="31" t="n"/>
      <c r="I701" s="31" t="n"/>
      <c r="J701" s="31" t="n">
        <v>0</v>
      </c>
      <c r="K701" s="31" t="n">
        <v>0</v>
      </c>
      <c r="L701" s="31" t="n">
        <v>0</v>
      </c>
      <c r="M701" s="31" t="n">
        <v>0</v>
      </c>
      <c r="N701" s="21" t="inlineStr"/>
      <c r="O701" s="21" t="inlineStr"/>
      <c r="P701" s="21" t="inlineStr"/>
      <c r="Q701" s="21" t="inlineStr"/>
      <c r="R701" s="40" t="n">
        <v>20</v>
      </c>
      <c r="S701" s="21" t="inlineStr">
        <is>
          <t>CP:R 353</t>
        </is>
      </c>
      <c r="T701" s="21" t="inlineStr">
        <is>
          <t>Light tube to illuminate a 4m/yd area for up to 10 hours. One use only.</t>
        </is>
      </c>
    </row>
    <row r="702">
      <c r="A702" s="21" t="inlineStr">
        <is>
          <t>Grapple Gun</t>
        </is>
      </c>
      <c r="B702" s="21" t="inlineStr">
        <is>
          <t>Снаряжение</t>
        </is>
      </c>
      <c r="C702" s="21" t="inlineStr">
        <is>
          <t>General</t>
        </is>
      </c>
      <c r="D702" s="21" t="inlineStr"/>
      <c r="E702" s="21" t="inlineStr"/>
      <c r="F702" s="31" t="n"/>
      <c r="G702" s="31" t="n"/>
      <c r="H702" s="31" t="n"/>
      <c r="I702" s="31" t="n"/>
      <c r="J702" s="31" t="n">
        <v>0</v>
      </c>
      <c r="K702" s="31" t="n">
        <v>0</v>
      </c>
      <c r="L702" s="31" t="n">
        <v>0</v>
      </c>
      <c r="M702" s="31" t="n">
        <v>0</v>
      </c>
      <c r="N702" s="21" t="inlineStr"/>
      <c r="O702" s="21" t="inlineStr"/>
      <c r="P702" s="21" t="inlineStr"/>
      <c r="Q702" s="21" t="inlineStr"/>
      <c r="R702" s="40" t="n">
        <v>100</v>
      </c>
      <c r="S702" s="21" t="inlineStr">
        <is>
          <t>CP:R 353</t>
        </is>
      </c>
      <c r="T702" s="21" t="inlineStr">
        <is>
          <t xml:space="preserve">When wielded in a hand, user as an Action can fire a rocket propelled grapple that will attach securely to any "thick" cover up to 30m/yds away. Line can only support two times the user's body weight, and has 10 HP. The </t>
        </is>
      </c>
    </row>
    <row r="703">
      <c r="A703" s="21" t="inlineStr">
        <is>
          <t>Handcuffs</t>
        </is>
      </c>
      <c r="B703" s="21" t="inlineStr">
        <is>
          <t>Снаряжение</t>
        </is>
      </c>
      <c r="C703" s="21" t="inlineStr">
        <is>
          <t>General</t>
        </is>
      </c>
      <c r="D703" s="21" t="inlineStr"/>
      <c r="E703" s="21" t="inlineStr"/>
      <c r="F703" s="31" t="n"/>
      <c r="G703" s="31" t="n"/>
      <c r="H703" s="31" t="n"/>
      <c r="I703" s="31" t="n"/>
      <c r="J703" s="31" t="n">
        <v>0</v>
      </c>
      <c r="K703" s="31" t="n">
        <v>0</v>
      </c>
      <c r="L703" s="31" t="n">
        <v>0</v>
      </c>
      <c r="M703" s="31" t="n">
        <v>0</v>
      </c>
      <c r="N703" s="21" t="inlineStr"/>
      <c r="O703" s="21" t="inlineStr"/>
      <c r="P703" s="21" t="inlineStr"/>
      <c r="Q703" s="21" t="inlineStr"/>
      <c r="R703" s="40" t="n">
        <v>50</v>
      </c>
      <c r="S703" s="21" t="inlineStr">
        <is>
          <t>CP:R 353</t>
        </is>
      </c>
      <c r="T703" s="21" t="inlineStr">
        <is>
          <t>Book 'em, Danno. Can be broken easily if your BODY is higher than 10.</t>
        </is>
      </c>
    </row>
    <row r="704">
      <c r="A704" s="21" t="inlineStr">
        <is>
          <t>Handprint Glove</t>
        </is>
      </c>
      <c r="B704" s="21" t="inlineStr">
        <is>
          <t>Снаряжение</t>
        </is>
      </c>
      <c r="C704" s="21" t="inlineStr">
        <is>
          <t>General</t>
        </is>
      </c>
      <c r="D704" s="21" t="inlineStr"/>
      <c r="E704" s="21" t="inlineStr"/>
      <c r="F704" s="31" t="n"/>
      <c r="G704" s="31" t="n"/>
      <c r="H704" s="31" t="n"/>
      <c r="I704" s="31" t="n"/>
      <c r="J704" s="31" t="n">
        <v>0</v>
      </c>
      <c r="K704" s="31" t="n">
        <v>0</v>
      </c>
      <c r="L704" s="31" t="n">
        <v>0</v>
      </c>
      <c r="M704" s="31" t="n">
        <v>0</v>
      </c>
      <c r="N704" s="21" t="inlineStr"/>
      <c r="O704" s="21" t="inlineStr"/>
      <c r="P704" s="21" t="inlineStr"/>
      <c r="Q704" s="21" t="inlineStr"/>
      <c r="R704" s="40" t="n">
        <v>500</v>
      </c>
      <c r="S704" s="21" t="inlineStr">
        <is>
          <t>DL:GQ 6</t>
        </is>
      </c>
      <c r="T704" s="21" t="inlineStr">
        <is>
          <t>You infiltrate enough secure joints, you’ll run into a handprint scanner eventually. The technology’s old and unreliable compared to modern security measures, but also cheap … and Execs sure do love cheap! A glove made f</t>
        </is>
      </c>
    </row>
    <row r="705">
      <c r="A705" s="21" t="inlineStr">
        <is>
          <t>HI Drink Master 3000</t>
        </is>
      </c>
      <c r="B705" s="21" t="inlineStr">
        <is>
          <t>Снаряжение</t>
        </is>
      </c>
      <c r="C705" s="21" t="inlineStr">
        <is>
          <t>General</t>
        </is>
      </c>
      <c r="D705" s="21" t="inlineStr"/>
      <c r="E705" s="21" t="inlineStr"/>
      <c r="F705" s="31" t="n"/>
      <c r="G705" s="31" t="n"/>
      <c r="H705" s="31" t="n"/>
      <c r="I705" s="31" t="n"/>
      <c r="J705" s="31" t="n">
        <v>0</v>
      </c>
      <c r="K705" s="31" t="n">
        <v>0</v>
      </c>
      <c r="L705" s="31" t="n">
        <v>0</v>
      </c>
      <c r="M705" s="31" t="n">
        <v>0</v>
      </c>
      <c r="N705" s="21" t="inlineStr"/>
      <c r="O705" s="21" t="inlineStr"/>
      <c r="P705" s="21" t="inlineStr"/>
      <c r="Q705" s="21" t="inlineStr"/>
      <c r="R705" s="40" t="n">
        <v>1000</v>
      </c>
      <c r="S705" s="21" t="inlineStr">
        <is>
          <t>BC 42</t>
        </is>
      </c>
      <c r="T705" s="21" t="inlineStr">
        <is>
          <t>Execs in the know rely on the Drink Master 3000 to lubricate negotiations and to keep the party going until morning as they celebrate their latest business success! This savior of office holiday parties is a large rollin</t>
        </is>
      </c>
    </row>
    <row r="706">
      <c r="A706" s="21" t="inlineStr">
        <is>
          <t>HI Green Light Go Sniffer</t>
        </is>
      </c>
      <c r="B706" s="21" t="inlineStr">
        <is>
          <t>Снаряжение</t>
        </is>
      </c>
      <c r="C706" s="21" t="inlineStr">
        <is>
          <t>General</t>
        </is>
      </c>
      <c r="D706" s="21" t="inlineStr"/>
      <c r="E706" s="21" t="inlineStr"/>
      <c r="F706" s="31" t="n"/>
      <c r="G706" s="31" t="n"/>
      <c r="H706" s="31" t="n"/>
      <c r="I706" s="31" t="n"/>
      <c r="J706" s="31" t="n">
        <v>0</v>
      </c>
      <c r="K706" s="31" t="n">
        <v>0</v>
      </c>
      <c r="L706" s="31" t="n">
        <v>0</v>
      </c>
      <c r="M706" s="31" t="n">
        <v>0</v>
      </c>
      <c r="N706" s="21" t="inlineStr"/>
      <c r="O706" s="21" t="inlineStr"/>
      <c r="P706" s="21" t="inlineStr"/>
      <c r="Q706" s="21" t="inlineStr"/>
      <c r="R706" s="40" t="n">
        <v>100</v>
      </c>
      <c r="S706" s="21" t="inlineStr">
        <is>
          <t>DL:12Gear 3 · IR4 67</t>
        </is>
      </c>
      <c r="T706" s="21" t="inlineStr">
        <is>
          <t>Is your dealer cutting their synthcoke with rat poison? Did someone spike your cup of Smash? Is your personal assistant slipping Biotoxin into your KaffPop? Find out with the Hammered Industries Green Light Go Sniffer! S</t>
        </is>
      </c>
    </row>
    <row r="707">
      <c r="A707" s="21" t="inlineStr">
        <is>
          <t>Homing Tracer (Снаряжение)</t>
        </is>
      </c>
      <c r="B707" s="21" t="inlineStr">
        <is>
          <t>Снаряжение</t>
        </is>
      </c>
      <c r="C707" s="21" t="inlineStr">
        <is>
          <t>General</t>
        </is>
      </c>
      <c r="D707" s="21" t="inlineStr"/>
      <c r="E707" s="21" t="inlineStr"/>
      <c r="F707" s="31" t="n"/>
      <c r="G707" s="31" t="n"/>
      <c r="H707" s="31" t="n"/>
      <c r="I707" s="31" t="n"/>
      <c r="J707" s="31" t="n">
        <v>0</v>
      </c>
      <c r="K707" s="31" t="n">
        <v>0</v>
      </c>
      <c r="L707" s="31" t="n">
        <v>0</v>
      </c>
      <c r="M707" s="31" t="n">
        <v>0</v>
      </c>
      <c r="N707" s="21" t="inlineStr"/>
      <c r="O707" s="21" t="inlineStr"/>
      <c r="P707" s="21" t="inlineStr"/>
      <c r="Q707" s="21" t="inlineStr"/>
      <c r="R707" s="40" t="n">
        <v>500</v>
      </c>
      <c r="S707" s="21" t="inlineStr">
        <is>
          <t>CP:R 354</t>
        </is>
      </c>
      <c r="T707" s="21" t="inlineStr">
        <is>
          <t>Device can follow a linked tracer up to 1-mile away. Comes with a free button sized linked tracer. Replacement linked tracers are 50eb</t>
        </is>
      </c>
    </row>
    <row r="708">
      <c r="A708" s="21" t="inlineStr">
        <is>
          <t>Hydro Universal Aqualung</t>
        </is>
      </c>
      <c r="B708" s="21" t="inlineStr">
        <is>
          <t>Снаряжение</t>
        </is>
      </c>
      <c r="C708" s="21" t="inlineStr">
        <is>
          <t>General</t>
        </is>
      </c>
      <c r="D708" s="21" t="inlineStr"/>
      <c r="E708" s="21" t="inlineStr"/>
      <c r="F708" s="31" t="n"/>
      <c r="G708" s="31" t="n"/>
      <c r="H708" s="31" t="n"/>
      <c r="I708" s="31" t="n"/>
      <c r="J708" s="31" t="n">
        <v>0</v>
      </c>
      <c r="K708" s="31" t="n">
        <v>0</v>
      </c>
      <c r="L708" s="31" t="n">
        <v>0</v>
      </c>
      <c r="M708" s="31" t="n">
        <v>0</v>
      </c>
      <c r="N708" s="21" t="inlineStr"/>
      <c r="O708" s="21" t="inlineStr"/>
      <c r="P708" s="21" t="inlineStr"/>
      <c r="Q708" s="21" t="inlineStr"/>
      <c r="R708" s="40" t="n">
        <v>5000</v>
      </c>
      <c r="S708" s="21" t="inlineStr">
        <is>
          <t>BC 42</t>
        </is>
      </c>
      <c r="T708" s="21" t="inlineStr">
        <is>
          <t>This donut-shaped neck device comes with two water filtration and conversion filters that pull oxygen from seawater and deliver it to the wearer’s mouthpiece. The Hydrosubsidium Universal Aqualung was originally designed</t>
        </is>
      </c>
    </row>
    <row r="709">
      <c r="A709" s="21" t="inlineStr">
        <is>
          <t>Ion Cuffs</t>
        </is>
      </c>
      <c r="B709" s="21" t="inlineStr">
        <is>
          <t>Снаряжение</t>
        </is>
      </c>
      <c r="C709" s="21" t="inlineStr">
        <is>
          <t>General</t>
        </is>
      </c>
      <c r="D709" s="21" t="inlineStr"/>
      <c r="E709" s="21" t="inlineStr"/>
      <c r="F709" s="31" t="n"/>
      <c r="G709" s="31" t="n"/>
      <c r="H709" s="31" t="n"/>
      <c r="I709" s="31" t="n"/>
      <c r="J709" s="31" t="n">
        <v>0</v>
      </c>
      <c r="K709" s="31" t="n">
        <v>0</v>
      </c>
      <c r="L709" s="31" t="n">
        <v>0</v>
      </c>
      <c r="M709" s="31" t="n">
        <v>0</v>
      </c>
      <c r="N709" s="21" t="inlineStr"/>
      <c r="O709" s="21" t="inlineStr"/>
      <c r="P709" s="21" t="inlineStr"/>
      <c r="Q709" s="21" t="inlineStr"/>
      <c r="R709" s="40" t="n">
        <v>500</v>
      </c>
      <c r="S709" s="21" t="inlineStr">
        <is>
          <t>DL:12 Gear 3 · IR4 67</t>
        </is>
      </c>
      <c r="T709" s="21" t="inlineStr">
        <is>
          <t>Seven out of ten cops in Night City recommend Ion Cuffs! Ion Cuffs are the one-step unbreakable criminal lockdown device! Buy the same Ion Cuffs trusted by the NCPD. Lock down Cyberarms and all their nasty surprises! Str</t>
        </is>
      </c>
    </row>
    <row r="710">
      <c r="A710" s="21" t="inlineStr">
        <is>
          <t>Inflatable Bed and Sleeping Bag</t>
        </is>
      </c>
      <c r="B710" s="21" t="inlineStr">
        <is>
          <t>Снаряжение</t>
        </is>
      </c>
      <c r="C710" s="21" t="inlineStr">
        <is>
          <t>General</t>
        </is>
      </c>
      <c r="D710" s="21" t="inlineStr"/>
      <c r="E710" s="21" t="inlineStr"/>
      <c r="F710" s="31" t="n"/>
      <c r="G710" s="31" t="n"/>
      <c r="H710" s="31" t="n"/>
      <c r="I710" s="31" t="n"/>
      <c r="J710" s="31" t="n">
        <v>0</v>
      </c>
      <c r="K710" s="31" t="n">
        <v>0</v>
      </c>
      <c r="L710" s="31" t="n">
        <v>0</v>
      </c>
      <c r="M710" s="31" t="n">
        <v>0</v>
      </c>
      <c r="N710" s="21" t="inlineStr"/>
      <c r="O710" s="21" t="inlineStr"/>
      <c r="P710" s="21" t="inlineStr"/>
      <c r="Q710" s="21" t="inlineStr"/>
      <c r="R710" s="40" t="n">
        <v>20</v>
      </c>
      <c r="S710" s="21" t="inlineStr">
        <is>
          <t>CP:R 354</t>
        </is>
      </c>
      <c r="T710" s="21" t="inlineStr">
        <is>
          <t>It's a self-inflating air mattress than comes packed with a thin sleeping bag. The whole thing folds to a 6"x6" package for easy storage.</t>
        </is>
      </c>
    </row>
    <row r="711">
      <c r="A711" s="21" t="inlineStr">
        <is>
          <t>Jeeves Executive Garment Bag</t>
        </is>
      </c>
      <c r="B711" s="21" t="inlineStr">
        <is>
          <t>Снаряжение</t>
        </is>
      </c>
      <c r="C711" s="21" t="inlineStr">
        <is>
          <t>General</t>
        </is>
      </c>
      <c r="D711" s="21" t="inlineStr"/>
      <c r="E711" s="21" t="inlineStr"/>
      <c r="F711" s="31" t="n"/>
      <c r="G711" s="31" t="n"/>
      <c r="H711" s="31" t="n"/>
      <c r="I711" s="31" t="n"/>
      <c r="J711" s="31" t="n">
        <v>0</v>
      </c>
      <c r="K711" s="31" t="n">
        <v>0</v>
      </c>
      <c r="L711" s="31" t="n">
        <v>0</v>
      </c>
      <c r="M711" s="31" t="n">
        <v>0</v>
      </c>
      <c r="N711" s="21" t="inlineStr"/>
      <c r="O711" s="21" t="inlineStr"/>
      <c r="P711" s="21" t="inlineStr"/>
      <c r="Q711" s="21" t="inlineStr"/>
      <c r="R711" s="40" t="n">
        <v>1000</v>
      </c>
      <c r="S711" s="21" t="inlineStr">
        <is>
          <t>BC 43</t>
        </is>
      </c>
      <c r="T711" s="21" t="inlineStr">
        <is>
          <t>Jeeves Executive Garment Bags from Nu-Tek are immensely popular among Execs, especially those in countries with little or no established infrastructure. These large garment bags clean and make minor repairs to any clothi</t>
        </is>
      </c>
    </row>
    <row r="712">
      <c r="A712" s="21" t="inlineStr">
        <is>
          <t>KillStrom Banshee Microphone</t>
        </is>
      </c>
      <c r="B712" s="21" t="inlineStr">
        <is>
          <t>Снаряжение</t>
        </is>
      </c>
      <c r="C712" s="21" t="inlineStr">
        <is>
          <t>General</t>
        </is>
      </c>
      <c r="D712" s="21" t="inlineStr"/>
      <c r="E712" s="21" t="inlineStr"/>
      <c r="F712" s="31" t="n"/>
      <c r="G712" s="31" t="n"/>
      <c r="H712" s="31" t="n"/>
      <c r="I712" s="31" t="n"/>
      <c r="J712" s="31" t="n">
        <v>0</v>
      </c>
      <c r="K712" s="31" t="n">
        <v>0</v>
      </c>
      <c r="L712" s="31" t="n">
        <v>0</v>
      </c>
      <c r="M712" s="31" t="n">
        <v>0</v>
      </c>
      <c r="N712" s="21" t="inlineStr"/>
      <c r="O712" s="21" t="inlineStr"/>
      <c r="P712" s="21" t="inlineStr"/>
      <c r="Q712" s="21" t="inlineStr"/>
      <c r="R712" s="40" t="n">
        <v>1000</v>
      </c>
      <c r="S712" s="21" t="inlineStr">
        <is>
          <t>BC 40</t>
        </is>
      </c>
      <c r="T712" s="21" t="inlineStr">
        <is>
          <t xml:space="preserve">The Banshee has been called the clearest wireless microphone headset on the market today. In addition to crisply capturing vocals, it also automatically filters out background noise and links up to your Agent. Its sound </t>
        </is>
      </c>
    </row>
    <row r="713">
      <c r="A713" s="21" t="inlineStr">
        <is>
          <t>KillStrom Power Chord</t>
        </is>
      </c>
      <c r="B713" s="21" t="inlineStr">
        <is>
          <t>Снаряжение</t>
        </is>
      </c>
      <c r="C713" s="21" t="inlineStr">
        <is>
          <t>General</t>
        </is>
      </c>
      <c r="D713" s="21" t="inlineStr"/>
      <c r="E713" s="21" t="inlineStr"/>
      <c r="F713" s="31" t="n"/>
      <c r="G713" s="31" t="n"/>
      <c r="H713" s="31" t="n"/>
      <c r="I713" s="31" t="n"/>
      <c r="J713" s="31" t="n">
        <v>0</v>
      </c>
      <c r="K713" s="31" t="n">
        <v>0</v>
      </c>
      <c r="L713" s="31" t="n">
        <v>0</v>
      </c>
      <c r="M713" s="31" t="n">
        <v>0</v>
      </c>
      <c r="N713" s="21" t="inlineStr"/>
      <c r="O713" s="21" t="inlineStr"/>
      <c r="P713" s="21" t="inlineStr"/>
      <c r="Q713" s="21" t="inlineStr"/>
      <c r="R713" s="40" t="n">
        <v>2500</v>
      </c>
      <c r="S713" s="21" t="inlineStr">
        <is>
          <t>DL:HR+ 23</t>
        </is>
      </c>
      <c r="T713" s="21" t="inlineStr">
        <is>
          <t>The Power Chord is an electric guitar that grants its use +2 to their Play Instrument (Guitar) skill if their skill base is already 16 or higher without the use of Skill Chips or other bonuses. This bonus doesn’t stack w</t>
        </is>
      </c>
    </row>
    <row r="714">
      <c r="A714" s="21" t="inlineStr">
        <is>
          <t>KillStrom Sonic Boom Amp</t>
        </is>
      </c>
      <c r="B714" s="21" t="inlineStr">
        <is>
          <t>Снаряжение</t>
        </is>
      </c>
      <c r="C714" s="21" t="inlineStr">
        <is>
          <t>General</t>
        </is>
      </c>
      <c r="D714" s="21" t="inlineStr"/>
      <c r="E714" s="21" t="inlineStr"/>
      <c r="F714" s="31" t="n"/>
      <c r="G714" s="31" t="n"/>
      <c r="H714" s="31" t="n"/>
      <c r="I714" s="31" t="n"/>
      <c r="J714" s="31" t="n">
        <v>0</v>
      </c>
      <c r="K714" s="31" t="n">
        <v>0</v>
      </c>
      <c r="L714" s="31" t="n">
        <v>0</v>
      </c>
      <c r="M714" s="31" t="n">
        <v>0</v>
      </c>
      <c r="N714" s="21" t="inlineStr"/>
      <c r="O714" s="21" t="inlineStr"/>
      <c r="P714" s="21" t="inlineStr"/>
      <c r="Q714" s="21" t="inlineStr"/>
      <c r="R714" s="40" t="n">
        <v>1000</v>
      </c>
      <c r="S714" s="21" t="inlineStr">
        <is>
          <t>BC 40</t>
        </is>
      </c>
      <c r="T714" s="21" t="inlineStr">
        <is>
          <t>Nothing screams like the KillStrom Sonic Boom Amp by KillStrom Music Technologies. With its ability to pump up the power and make instruments into weapons of mass destruction, the Sonic Boom is well known for its ability</t>
        </is>
      </c>
    </row>
    <row r="715">
      <c r="A715" s="21" t="inlineStr">
        <is>
          <t>KillStrom Typhoid Speaker</t>
        </is>
      </c>
      <c r="B715" s="21" t="inlineStr">
        <is>
          <t>Снаряжение</t>
        </is>
      </c>
      <c r="C715" s="21" t="inlineStr">
        <is>
          <t>General</t>
        </is>
      </c>
      <c r="D715" s="21" t="inlineStr"/>
      <c r="E715" s="21" t="inlineStr"/>
      <c r="F715" s="31" t="n"/>
      <c r="G715" s="31" t="n"/>
      <c r="H715" s="31" t="n"/>
      <c r="I715" s="31" t="n"/>
      <c r="J715" s="31" t="n">
        <v>0</v>
      </c>
      <c r="K715" s="31" t="n">
        <v>0</v>
      </c>
      <c r="L715" s="31" t="n">
        <v>0</v>
      </c>
      <c r="M715" s="31" t="n">
        <v>0</v>
      </c>
      <c r="N715" s="21" t="inlineStr"/>
      <c r="O715" s="21" t="inlineStr"/>
      <c r="P715" s="21" t="inlineStr"/>
      <c r="Q715" s="21" t="inlineStr"/>
      <c r="R715" s="40" t="n">
        <v>500</v>
      </c>
      <c r="S715" s="21" t="inlineStr">
        <is>
          <t>BC 41</t>
        </is>
      </c>
      <c r="T715" s="21" t="inlineStr">
        <is>
          <t xml:space="preserve">The Typhoid by KillStrom Music Technologies is a speaker with the heart and mouth of a monster. Created as the perfect speaker to pair with the KillStrom Amp, test footage shows it cracking concrete and rattling garbage </t>
        </is>
      </c>
    </row>
    <row r="716">
      <c r="A716" s="21" t="inlineStr">
        <is>
          <t>KTech Marking Scent</t>
        </is>
      </c>
      <c r="B716" s="21" t="inlineStr">
        <is>
          <t>Снаряжение</t>
        </is>
      </c>
      <c r="C716" s="21" t="inlineStr">
        <is>
          <t>General</t>
        </is>
      </c>
      <c r="D716" s="21" t="inlineStr"/>
      <c r="E716" s="21" t="inlineStr"/>
      <c r="F716" s="31" t="n"/>
      <c r="G716" s="31" t="n"/>
      <c r="H716" s="31" t="n"/>
      <c r="I716" s="31" t="n"/>
      <c r="J716" s="31" t="n">
        <v>0</v>
      </c>
      <c r="K716" s="31" t="n">
        <v>0</v>
      </c>
      <c r="L716" s="31" t="n">
        <v>0</v>
      </c>
      <c r="M716" s="31" t="n">
        <v>0</v>
      </c>
      <c r="N716" s="21" t="inlineStr"/>
      <c r="O716" s="21" t="inlineStr"/>
      <c r="P716" s="21" t="inlineStr"/>
      <c r="Q716" s="21" t="inlineStr"/>
      <c r="R716" s="40" t="n">
        <v>50</v>
      </c>
      <c r="S716" s="21" t="inlineStr">
        <is>
          <t>BC 44</t>
        </is>
      </c>
      <c r="T716" s="21" t="inlineStr">
        <is>
          <t>It didn’t take long for security forces at SovOil to realize the benefits of the KTech Doberman 500’s Tracking Mode. It also didn’t take long for the dissidents they were tracking to engineer clever ways to throw the dro</t>
        </is>
      </c>
    </row>
    <row r="717">
      <c r="A717" s="21" t="inlineStr">
        <is>
          <t>Laser Light Electric Guitar</t>
        </is>
      </c>
      <c r="B717" s="21" t="inlineStr">
        <is>
          <t>Снаряжение</t>
        </is>
      </c>
      <c r="C717" s="21" t="inlineStr">
        <is>
          <t>General</t>
        </is>
      </c>
      <c r="D717" s="21" t="inlineStr"/>
      <c r="E717" s="21" t="inlineStr"/>
      <c r="F717" s="31" t="n"/>
      <c r="G717" s="31" t="n"/>
      <c r="H717" s="31" t="n"/>
      <c r="I717" s="31" t="n"/>
      <c r="J717" s="31" t="n">
        <v>0</v>
      </c>
      <c r="K717" s="31" t="n">
        <v>0</v>
      </c>
      <c r="L717" s="31" t="n">
        <v>0</v>
      </c>
      <c r="M717" s="31" t="n">
        <v>0</v>
      </c>
      <c r="N717" s="21" t="inlineStr"/>
      <c r="O717" s="21" t="inlineStr"/>
      <c r="P717" s="21" t="inlineStr"/>
      <c r="Q717" s="21" t="inlineStr"/>
      <c r="R717" s="40" t="n">
        <v>1000</v>
      </c>
      <c r="S717" s="21" t="inlineStr">
        <is>
          <t>BC 41</t>
        </is>
      </c>
      <c r="T717" s="21" t="inlineStr">
        <is>
          <t>There is no show like one played on a Laser Light Electric Guitar. Lasers in the frets light up the strings, making them dance as the guitar is played. The head of the guitar is studded with six lasers programmed by defa</t>
        </is>
      </c>
    </row>
    <row r="718">
      <c r="A718" s="21" t="inlineStr">
        <is>
          <t>Laser Microphone</t>
        </is>
      </c>
      <c r="B718" s="21" t="inlineStr">
        <is>
          <t>Снаряжение</t>
        </is>
      </c>
      <c r="C718" s="21" t="inlineStr">
        <is>
          <t>General</t>
        </is>
      </c>
      <c r="D718" s="21" t="inlineStr"/>
      <c r="E718" s="21" t="inlineStr"/>
      <c r="F718" s="31" t="n"/>
      <c r="G718" s="31" t="n"/>
      <c r="H718" s="31" t="n"/>
      <c r="I718" s="31" t="n"/>
      <c r="J718" s="31" t="n">
        <v>0</v>
      </c>
      <c r="K718" s="31" t="n">
        <v>0</v>
      </c>
      <c r="L718" s="31" t="n">
        <v>0</v>
      </c>
      <c r="M718" s="31" t="n">
        <v>0</v>
      </c>
      <c r="N718" s="21" t="inlineStr"/>
      <c r="O718" s="21" t="inlineStr"/>
      <c r="P718" s="21" t="inlineStr"/>
      <c r="Q718" s="21" t="inlineStr"/>
      <c r="R718" s="40" t="n">
        <v>100</v>
      </c>
      <c r="S718" s="21" t="inlineStr">
        <is>
          <t>DL:GQ 6</t>
        </is>
      </c>
      <c r="T718" s="21" t="inlineStr">
        <is>
          <t>A surprising number of buildings in Night City still have glass windows. Don’t know why. Those things are a security hazard and outside ain’t that glam, anyway. Laser Mics generate a beam of amplified light (aka a laser)</t>
        </is>
      </c>
    </row>
    <row r="719">
      <c r="A719" s="21" t="inlineStr">
        <is>
          <t>Lock Picking Set</t>
        </is>
      </c>
      <c r="B719" s="21" t="inlineStr">
        <is>
          <t>Снаряжение</t>
        </is>
      </c>
      <c r="C719" s="21" t="inlineStr">
        <is>
          <t>General</t>
        </is>
      </c>
      <c r="D719" s="21" t="inlineStr"/>
      <c r="E719" s="21" t="inlineStr"/>
      <c r="F719" s="31" t="n"/>
      <c r="G719" s="31" t="n"/>
      <c r="H719" s="31" t="n"/>
      <c r="I719" s="31" t="n"/>
      <c r="J719" s="31" t="n">
        <v>0</v>
      </c>
      <c r="K719" s="31" t="n">
        <v>0</v>
      </c>
      <c r="L719" s="31" t="n">
        <v>0</v>
      </c>
      <c r="M719" s="31" t="n">
        <v>0</v>
      </c>
      <c r="N719" s="21" t="inlineStr"/>
      <c r="O719" s="21" t="inlineStr"/>
      <c r="P719" s="21" t="inlineStr"/>
      <c r="Q719" s="21" t="inlineStr"/>
      <c r="R719" s="40" t="n">
        <v>20</v>
      </c>
      <c r="S719" s="21" t="inlineStr">
        <is>
          <t>CP:R 354</t>
        </is>
      </c>
      <c r="T719" s="21" t="inlineStr">
        <is>
          <t>A small pouch of tools for cracking mechanical locks</t>
        </is>
      </c>
    </row>
    <row r="720">
      <c r="A720" s="21" t="inlineStr">
        <is>
          <t>Master Mechanic’s Tool Kit</t>
        </is>
      </c>
      <c r="B720" s="21" t="inlineStr">
        <is>
          <t>Снаряжение</t>
        </is>
      </c>
      <c r="C720" s="21" t="inlineStr">
        <is>
          <t>General</t>
        </is>
      </c>
      <c r="D720" s="21" t="inlineStr"/>
      <c r="E720" s="21" t="inlineStr"/>
      <c r="F720" s="31" t="n"/>
      <c r="G720" s="31" t="n"/>
      <c r="H720" s="31" t="n"/>
      <c r="I720" s="31" t="n"/>
      <c r="J720" s="31" t="n">
        <v>0</v>
      </c>
      <c r="K720" s="31" t="n">
        <v>0</v>
      </c>
      <c r="L720" s="31" t="n">
        <v>0</v>
      </c>
      <c r="M720" s="31" t="n">
        <v>0</v>
      </c>
      <c r="N720" s="21" t="inlineStr"/>
      <c r="O720" s="21" t="inlineStr"/>
      <c r="P720" s="21" t="inlineStr"/>
      <c r="Q720" s="21" t="inlineStr"/>
      <c r="R720" s="40" t="n">
        <v>20000</v>
      </c>
      <c r="S720" s="21" t="inlineStr">
        <is>
          <t>DL:12 Gear 3 · IR4 67</t>
        </is>
      </c>
      <c r="T720" s="21" t="inlineStr">
        <is>
          <t>Even Hephaestus used a hammer to forge metal. The highest-end tools, Master Mechanics are the utensils of a god of creation. Are you worthy to wield them? Accept no substitutes. Not even those made by your own hand. A Ma</t>
        </is>
      </c>
    </row>
    <row r="721">
      <c r="A721" s="21" t="inlineStr">
        <is>
          <t>Medscanner</t>
        </is>
      </c>
      <c r="B721" s="21" t="inlineStr">
        <is>
          <t>Снаряжение</t>
        </is>
      </c>
      <c r="C721" s="21" t="inlineStr">
        <is>
          <t>General</t>
        </is>
      </c>
      <c r="D721" s="21" t="inlineStr"/>
      <c r="E721" s="21" t="inlineStr"/>
      <c r="F721" s="31" t="n"/>
      <c r="G721" s="31" t="n"/>
      <c r="H721" s="31" t="n"/>
      <c r="I721" s="31" t="n"/>
      <c r="J721" s="31" t="n">
        <v>0</v>
      </c>
      <c r="K721" s="31" t="n">
        <v>0</v>
      </c>
      <c r="L721" s="31" t="n">
        <v>0</v>
      </c>
      <c r="M721" s="31" t="n">
        <v>0</v>
      </c>
      <c r="N721" s="21" t="inlineStr"/>
      <c r="O721" s="21" t="inlineStr"/>
      <c r="P721" s="21" t="inlineStr"/>
      <c r="Q721" s="21" t="inlineStr"/>
      <c r="R721" s="40" t="n">
        <v>1000</v>
      </c>
      <c r="S721" s="21" t="inlineStr">
        <is>
          <t>CP:R 354</t>
        </is>
      </c>
      <c r="T721" s="21" t="inlineStr">
        <is>
          <t>Scanner with external probes and contacts that diagnoses injury and illness, assisting user in medical emergencies not requiring Surgery. User adds +2 to their First Aid and Paramedic Skills. This doesn't stack with itse</t>
        </is>
      </c>
    </row>
    <row r="722">
      <c r="A722" s="21" t="inlineStr">
        <is>
          <t>Medtech Bag</t>
        </is>
      </c>
      <c r="B722" s="21" t="inlineStr">
        <is>
          <t>Снаряжение</t>
        </is>
      </c>
      <c r="C722" s="21" t="inlineStr">
        <is>
          <t>General</t>
        </is>
      </c>
      <c r="D722" s="21" t="inlineStr"/>
      <c r="E722" s="21" t="inlineStr"/>
      <c r="F722" s="31" t="n"/>
      <c r="G722" s="31" t="n"/>
      <c r="H722" s="31" t="n"/>
      <c r="I722" s="31" t="n"/>
      <c r="J722" s="31" t="n">
        <v>0</v>
      </c>
      <c r="K722" s="31" t="n">
        <v>0</v>
      </c>
      <c r="L722" s="31" t="n">
        <v>0</v>
      </c>
      <c r="M722" s="31" t="n">
        <v>0</v>
      </c>
      <c r="N722" s="21" t="inlineStr"/>
      <c r="O722" s="21" t="inlineStr"/>
      <c r="P722" s="21" t="inlineStr"/>
      <c r="Q722" s="21" t="inlineStr"/>
      <c r="R722" s="40" t="n">
        <v>100</v>
      </c>
      <c r="S722" s="21" t="inlineStr">
        <is>
          <t>CP:R 354</t>
        </is>
      </c>
      <c r="T722" s="21" t="inlineStr">
        <is>
          <t>Medical toolkit that includes everything from dermal staplers to spray skin applicators to sterile scalpels. All you need to save lives using your skills and training.</t>
        </is>
      </c>
    </row>
    <row r="723">
      <c r="A723" s="21" t="inlineStr">
        <is>
          <t>Memory Chips</t>
        </is>
      </c>
      <c r="B723" s="21" t="inlineStr">
        <is>
          <t>Снаряжение</t>
        </is>
      </c>
      <c r="C723" s="21" t="inlineStr">
        <is>
          <t>General</t>
        </is>
      </c>
      <c r="D723" s="21" t="inlineStr"/>
      <c r="E723" s="21" t="inlineStr"/>
      <c r="F723" s="31" t="n"/>
      <c r="G723" s="31" t="n"/>
      <c r="H723" s="31" t="n"/>
      <c r="I723" s="31" t="n"/>
      <c r="J723" s="31" t="n">
        <v>0</v>
      </c>
      <c r="K723" s="31" t="n">
        <v>0</v>
      </c>
      <c r="L723" s="31" t="n">
        <v>0</v>
      </c>
      <c r="M723" s="31" t="n">
        <v>0</v>
      </c>
      <c r="N723" s="21" t="inlineStr"/>
      <c r="O723" s="21" t="inlineStr"/>
      <c r="P723" s="21" t="inlineStr"/>
      <c r="Q723" s="21" t="inlineStr"/>
      <c r="R723" s="40" t="n">
        <v>10</v>
      </c>
      <c r="S723" s="21" t="inlineStr">
        <is>
          <t>CP:R 354</t>
        </is>
      </c>
      <c r="T723" s="21" t="inlineStr">
        <is>
          <t>Thin wafers of doped plastic that store information in all forms. Some of these are larger than others</t>
        </is>
      </c>
    </row>
    <row r="724">
      <c r="A724" s="21" t="inlineStr">
        <is>
          <t>Militech M97 Ghostsuit</t>
        </is>
      </c>
      <c r="B724" s="21" t="inlineStr">
        <is>
          <t>Снаряжение</t>
        </is>
      </c>
      <c r="C724" s="21" t="inlineStr">
        <is>
          <t>General</t>
        </is>
      </c>
      <c r="D724" s="21" t="inlineStr"/>
      <c r="E724" s="21" t="inlineStr"/>
      <c r="F724" s="31" t="n"/>
      <c r="G724" s="31" t="n"/>
      <c r="H724" s="31" t="n"/>
      <c r="I724" s="31" t="n"/>
      <c r="J724" s="31" t="n">
        <v>0</v>
      </c>
      <c r="K724" s="31" t="n">
        <v>0</v>
      </c>
      <c r="L724" s="31" t="n">
        <v>0</v>
      </c>
      <c r="M724" s="31" t="n">
        <v>0</v>
      </c>
      <c r="N724" s="21" t="inlineStr"/>
      <c r="O724" s="21" t="inlineStr"/>
      <c r="P724" s="21" t="inlineStr"/>
      <c r="Q724" s="21" t="inlineStr"/>
      <c r="R724" s="40" t="n">
        <v>5000</v>
      </c>
      <c r="S724" s="21" t="inlineStr">
        <is>
          <t>DL:GQ 6</t>
        </is>
      </c>
      <c r="T724" s="21" t="inlineStr">
        <is>
          <t>This sort of thing ain’t for me, but I know snipers and a few thieves who swear by it. Ghostsuits are full-body coveralls incorporating liquid crystal displays, fiber-optic digitization systems, and mini-camera technolog</t>
        </is>
      </c>
    </row>
    <row r="725">
      <c r="A725" s="21" t="inlineStr">
        <is>
          <t>MiniMag Speakers</t>
        </is>
      </c>
      <c r="B725" s="21" t="inlineStr">
        <is>
          <t>Снаряжение</t>
        </is>
      </c>
      <c r="C725" s="21" t="inlineStr">
        <is>
          <t>General</t>
        </is>
      </c>
      <c r="D725" s="21" t="inlineStr"/>
      <c r="E725" s="21" t="inlineStr"/>
      <c r="F725" s="31" t="n"/>
      <c r="G725" s="31" t="n"/>
      <c r="H725" s="31" t="n"/>
      <c r="I725" s="31" t="n"/>
      <c r="J725" s="31" t="n">
        <v>0</v>
      </c>
      <c r="K725" s="31" t="n">
        <v>0</v>
      </c>
      <c r="L725" s="31" t="n">
        <v>0</v>
      </c>
      <c r="M725" s="31" t="n">
        <v>0</v>
      </c>
      <c r="N725" s="21" t="inlineStr"/>
      <c r="O725" s="21" t="inlineStr"/>
      <c r="P725" s="21" t="inlineStr"/>
      <c r="Q725" s="21" t="inlineStr"/>
      <c r="R725" s="40" t="n">
        <v>50</v>
      </c>
      <c r="S725" s="21" t="inlineStr">
        <is>
          <t>DL:12Gear 4 · IR4 68</t>
        </is>
      </c>
      <c r="T725" s="21" t="inlineStr">
        <is>
          <t>Stick a speaker anywhere! Don’t bother upgrading your car’s sound system — just attach a MiniMag to your dash! Don’t yell at your kids to come down for dinner — save your voice and put a MiniMag in their bedroom! Show yo</t>
        </is>
      </c>
    </row>
    <row r="726">
      <c r="A726" s="21" t="inlineStr">
        <is>
          <t>ModBall Construction Kit</t>
        </is>
      </c>
      <c r="B726" s="21" t="inlineStr">
        <is>
          <t>Снаряжение</t>
        </is>
      </c>
      <c r="C726" s="21" t="inlineStr">
        <is>
          <t>General</t>
        </is>
      </c>
      <c r="D726" s="21" t="inlineStr"/>
      <c r="E726" s="21" t="inlineStr"/>
      <c r="F726" s="31" t="n"/>
      <c r="G726" s="31" t="n"/>
      <c r="H726" s="31" t="n"/>
      <c r="I726" s="31" t="n"/>
      <c r="J726" s="31" t="n">
        <v>0</v>
      </c>
      <c r="K726" s="31" t="n">
        <v>0</v>
      </c>
      <c r="L726" s="31" t="n">
        <v>0</v>
      </c>
      <c r="M726" s="31" t="n">
        <v>0</v>
      </c>
      <c r="N726" s="21" t="inlineStr"/>
      <c r="O726" s="21" t="inlineStr"/>
      <c r="P726" s="21" t="inlineStr"/>
      <c r="Q726" s="21" t="inlineStr"/>
      <c r="R726" s="40" t="n">
        <v>100</v>
      </c>
      <c r="S726" s="21" t="inlineStr">
        <is>
          <t>DL:12Cute 5</t>
        </is>
      </c>
      <c r="T726" s="21" t="inlineStr">
        <is>
          <t>Any non-Tech who owns a ModBall Construction Kit (100eb [Premium]) can craft ModBall ammunition as if they were a Tech with Fabrication Expertise 2. The cost and DV changes based on the ModBall being fabricated. All ModB</t>
        </is>
      </c>
    </row>
    <row r="727">
      <c r="A727" s="21" t="inlineStr">
        <is>
          <t>Mr. Biscuit Multifood Processor</t>
        </is>
      </c>
      <c r="B727" s="21" t="inlineStr">
        <is>
          <t>Снаряжение</t>
        </is>
      </c>
      <c r="C727" s="21" t="inlineStr">
        <is>
          <t>General</t>
        </is>
      </c>
      <c r="D727" s="21" t="inlineStr"/>
      <c r="E727" s="21" t="inlineStr"/>
      <c r="F727" s="31" t="n"/>
      <c r="G727" s="31" t="n"/>
      <c r="H727" s="31" t="n"/>
      <c r="I727" s="31" t="n"/>
      <c r="J727" s="31" t="n">
        <v>0</v>
      </c>
      <c r="K727" s="31" t="n">
        <v>0</v>
      </c>
      <c r="L727" s="31" t="n">
        <v>0</v>
      </c>
      <c r="M727" s="31" t="n">
        <v>0</v>
      </c>
      <c r="N727" s="21" t="inlineStr"/>
      <c r="O727" s="21" t="inlineStr"/>
      <c r="P727" s="21" t="inlineStr"/>
      <c r="Q727" s="21" t="inlineStr"/>
      <c r="R727" s="40" t="n">
        <v>500</v>
      </c>
      <c r="S727" s="21" t="inlineStr">
        <is>
          <t>BC 49</t>
        </is>
      </c>
      <c r="T727" s="21" t="inlineStr">
        <is>
          <t>Everest VentureWare developed the Mr. Biscuit Multi-Food Processor with increasingly common food scarcity in mind. Any organic material can be fed into the machine for processing. This means hay, grass, leaves, squirrels</t>
        </is>
      </c>
    </row>
    <row r="728">
      <c r="A728" s="21" t="inlineStr">
        <is>
          <t>Multihypo</t>
        </is>
      </c>
      <c r="B728" s="21" t="inlineStr">
        <is>
          <t>Снаряжение</t>
        </is>
      </c>
      <c r="C728" s="21" t="inlineStr">
        <is>
          <t>General</t>
        </is>
      </c>
      <c r="D728" s="21" t="inlineStr"/>
      <c r="E728" s="21" t="inlineStr"/>
      <c r="F728" s="31" t="n"/>
      <c r="G728" s="31" t="n"/>
      <c r="H728" s="31" t="n"/>
      <c r="I728" s="31" t="n"/>
      <c r="J728" s="31" t="n">
        <v>0</v>
      </c>
      <c r="K728" s="31" t="n">
        <v>0</v>
      </c>
      <c r="L728" s="31" t="n">
        <v>0</v>
      </c>
      <c r="M728" s="31" t="n">
        <v>0</v>
      </c>
      <c r="N728" s="21" t="inlineStr"/>
      <c r="O728" s="21" t="inlineStr"/>
      <c r="P728" s="21" t="inlineStr"/>
      <c r="Q728" s="21" t="inlineStr"/>
      <c r="R728" s="40" t="n">
        <v>500</v>
      </c>
      <c r="S728" s="21" t="inlineStr">
        <is>
          <t>IR5 126</t>
        </is>
      </c>
      <c r="T728" s="21" t="inlineStr">
        <is>
          <t>A multihypo is a quad-chambered Airhypo that can be loaded with four doses of drugs in each of its four reservoirs. A multihypo can inject multiple drugs at once, but cannot inject the same drug from different chambers a</t>
        </is>
      </c>
    </row>
    <row r="729">
      <c r="A729" s="21" t="inlineStr">
        <is>
          <t>Nymph Perfume</t>
        </is>
      </c>
      <c r="B729" s="21" t="inlineStr">
        <is>
          <t>Снаряжение</t>
        </is>
      </c>
      <c r="C729" s="21" t="inlineStr">
        <is>
          <t>General</t>
        </is>
      </c>
      <c r="D729" s="21" t="inlineStr"/>
      <c r="E729" s="21" t="inlineStr"/>
      <c r="F729" s="31" t="n"/>
      <c r="G729" s="31" t="n"/>
      <c r="H729" s="31" t="n"/>
      <c r="I729" s="31" t="n"/>
      <c r="J729" s="31" t="n">
        <v>0</v>
      </c>
      <c r="K729" s="31" t="n">
        <v>0</v>
      </c>
      <c r="L729" s="31" t="n">
        <v>0</v>
      </c>
      <c r="M729" s="31" t="n">
        <v>0</v>
      </c>
      <c r="N729" s="21" t="inlineStr"/>
      <c r="O729" s="21" t="inlineStr"/>
      <c r="P729" s="21" t="inlineStr"/>
      <c r="Q729" s="21" t="inlineStr"/>
      <c r="R729" s="40" t="n">
        <v>500</v>
      </c>
      <c r="S729" s="21" t="inlineStr">
        <is>
          <t>DL:GQ 6</t>
        </is>
      </c>
      <c r="T729" s="21" t="inlineStr">
        <is>
          <t>Back in the 2020s, Biotechnica claimed their Nymph Perfume line would “stimulate the sexual centers of the brain” via special pheromones. Turns out that was a bunch of baloney. The perfume’s just a mild, aerosolized euph</t>
        </is>
      </c>
    </row>
    <row r="730">
      <c r="A730" s="21" t="inlineStr">
        <is>
          <t>Optitech MagView</t>
        </is>
      </c>
      <c r="B730" s="21" t="inlineStr">
        <is>
          <t>Снаряжение</t>
        </is>
      </c>
      <c r="C730" s="21" t="inlineStr">
        <is>
          <t>General</t>
        </is>
      </c>
      <c r="D730" s="21" t="inlineStr"/>
      <c r="E730" s="21" t="inlineStr"/>
      <c r="F730" s="31" t="n"/>
      <c r="G730" s="31" t="n"/>
      <c r="H730" s="31" t="n"/>
      <c r="I730" s="31" t="n"/>
      <c r="J730" s="31" t="n">
        <v>0</v>
      </c>
      <c r="K730" s="31" t="n">
        <v>0</v>
      </c>
      <c r="L730" s="31" t="n">
        <v>0</v>
      </c>
      <c r="M730" s="31" t="n">
        <v>0</v>
      </c>
      <c r="N730" s="21" t="inlineStr"/>
      <c r="O730" s="21" t="inlineStr"/>
      <c r="P730" s="21" t="inlineStr"/>
      <c r="Q730" s="21" t="inlineStr"/>
      <c r="R730" s="40" t="n">
        <v>500</v>
      </c>
      <c r="S730" s="21" t="inlineStr">
        <is>
          <t>DL:12Gear 4 · IR4 68</t>
        </is>
      </c>
      <c r="T730" s="21" t="inlineStr">
        <is>
          <t>The ultimate in hunting, competitive long range shooting, orienteering, and birdwatching technology — if your Optitech MagViewer can’t see it, it may just be invisible! Never before have optics this good been this cheap!</t>
        </is>
      </c>
    </row>
    <row r="731">
      <c r="A731" s="21" t="inlineStr">
        <is>
          <t>Parabolic Microphone</t>
        </is>
      </c>
      <c r="B731" s="21" t="inlineStr">
        <is>
          <t>Снаряжение</t>
        </is>
      </c>
      <c r="C731" s="21" t="inlineStr">
        <is>
          <t>General</t>
        </is>
      </c>
      <c r="D731" s="21" t="inlineStr"/>
      <c r="E731" s="21" t="inlineStr"/>
      <c r="F731" s="31" t="n"/>
      <c r="G731" s="31" t="n"/>
      <c r="H731" s="31" t="n"/>
      <c r="I731" s="31" t="n"/>
      <c r="J731" s="31" t="n">
        <v>0</v>
      </c>
      <c r="K731" s="31" t="n">
        <v>0</v>
      </c>
      <c r="L731" s="31" t="n">
        <v>0</v>
      </c>
      <c r="M731" s="31" t="n">
        <v>0</v>
      </c>
      <c r="N731" s="21" t="inlineStr"/>
      <c r="O731" s="21" t="inlineStr"/>
      <c r="P731" s="21" t="inlineStr"/>
      <c r="Q731" s="21" t="inlineStr"/>
      <c r="R731" s="40" t="n">
        <v>100</v>
      </c>
      <c r="S731" s="21" t="inlineStr">
        <is>
          <t>DL:GQ 7</t>
        </is>
      </c>
      <c r="T731" s="21" t="inlineStr">
        <is>
          <t>A classic, beloved by private dicks who specialize in divorce cases. Set up shop across the street, then record the cheaters talking dirty while they feed each other fruity SCOPballs at a local cafe. Parabolic Microphone</t>
        </is>
      </c>
    </row>
    <row r="732">
      <c r="A732" s="21" t="inlineStr">
        <is>
          <t>Personal CarePack</t>
        </is>
      </c>
      <c r="B732" s="21" t="inlineStr">
        <is>
          <t>Снаряжение</t>
        </is>
      </c>
      <c r="C732" s="21" t="inlineStr">
        <is>
          <t>General</t>
        </is>
      </c>
      <c r="D732" s="21" t="inlineStr"/>
      <c r="E732" s="21" t="inlineStr"/>
      <c r="F732" s="31" t="n"/>
      <c r="G732" s="31" t="n"/>
      <c r="H732" s="31" t="n"/>
      <c r="I732" s="31" t="n"/>
      <c r="J732" s="31" t="n">
        <v>0</v>
      </c>
      <c r="K732" s="31" t="n">
        <v>0</v>
      </c>
      <c r="L732" s="31" t="n">
        <v>0</v>
      </c>
      <c r="M732" s="31" t="n">
        <v>0</v>
      </c>
      <c r="N732" s="21" t="inlineStr"/>
      <c r="O732" s="21" t="inlineStr"/>
      <c r="P732" s="21" t="inlineStr"/>
      <c r="Q732" s="21" t="inlineStr"/>
      <c r="R732" s="40" t="n">
        <v>20</v>
      </c>
      <c r="S732" s="21" t="inlineStr">
        <is>
          <t>CP:R 354</t>
        </is>
      </c>
      <c r="T732" s="21" t="inlineStr">
        <is>
          <t>Toothpaste-loaded toothbrush, all body wet-wipes, depilatory paste, comb, etc.</t>
        </is>
      </c>
    </row>
    <row r="733">
      <c r="A733" s="21" t="inlineStr">
        <is>
          <t>Petrochem Nitro Ultra9</t>
        </is>
      </c>
      <c r="B733" s="21" t="inlineStr">
        <is>
          <t>Снаряжение</t>
        </is>
      </c>
      <c r="C733" s="21" t="inlineStr">
        <is>
          <t>General</t>
        </is>
      </c>
      <c r="D733" s="21" t="inlineStr"/>
      <c r="E733" s="21" t="inlineStr">
        <is>
          <t>6d6</t>
        </is>
      </c>
      <c r="F733" s="31" t="n"/>
      <c r="G733" s="31" t="n"/>
      <c r="H733" s="31" t="n"/>
      <c r="I733" s="31" t="n"/>
      <c r="J733" s="31" t="n">
        <v>0</v>
      </c>
      <c r="K733" s="31" t="n">
        <v>0</v>
      </c>
      <c r="L733" s="31" t="n">
        <v>0</v>
      </c>
      <c r="M733" s="31" t="n">
        <v>0</v>
      </c>
      <c r="N733" s="21" t="inlineStr"/>
      <c r="O733" s="21" t="inlineStr"/>
      <c r="P733" s="21" t="inlineStr"/>
      <c r="Q733" s="21" t="inlineStr"/>
      <c r="R733" s="40" t="n">
        <v>100</v>
      </c>
      <c r="S733" s="21" t="inlineStr">
        <is>
          <t>BC 49</t>
        </is>
      </c>
      <c r="T733" s="21" t="inlineStr">
        <is>
          <t>When the fuel gauge sits on E and there isn’t a station for miles, break out a canister of Ultra9 to fill up your tank in an instant. This highly volatile chemical blend charged by ethanol molecularity reacts instantly w</t>
        </is>
      </c>
    </row>
    <row r="734">
      <c r="A734" s="21" t="inlineStr">
        <is>
          <t>Playing Cards</t>
        </is>
      </c>
      <c r="B734" s="21" t="inlineStr">
        <is>
          <t>Снаряжение</t>
        </is>
      </c>
      <c r="C734" s="21" t="inlineStr">
        <is>
          <t>General</t>
        </is>
      </c>
      <c r="D734" s="21" t="inlineStr"/>
      <c r="E734" s="21" t="inlineStr"/>
      <c r="F734" s="31" t="n"/>
      <c r="G734" s="31" t="n"/>
      <c r="H734" s="31" t="n"/>
      <c r="I734" s="31" t="n"/>
      <c r="J734" s="31" t="n">
        <v>0</v>
      </c>
      <c r="K734" s="31" t="n">
        <v>0</v>
      </c>
      <c r="L734" s="31" t="n">
        <v>0</v>
      </c>
      <c r="M734" s="31" t="n">
        <v>0</v>
      </c>
      <c r="N734" s="21" t="inlineStr"/>
      <c r="O734" s="21" t="inlineStr"/>
      <c r="P734" s="21" t="inlineStr"/>
      <c r="Q734" s="21" t="inlineStr"/>
      <c r="R734" s="40" t="n">
        <v>5</v>
      </c>
      <c r="S734" s="21" t="inlineStr">
        <is>
          <t>DL:ElfTCG 9</t>
        </is>
      </c>
      <c r="T734" s="21" t="inlineStr">
        <is>
          <t>Standard playing cards deck</t>
        </is>
      </c>
    </row>
    <row r="735">
      <c r="A735" s="21" t="inlineStr">
        <is>
          <t>Pocket Amplifier</t>
        </is>
      </c>
      <c r="B735" s="21" t="inlineStr">
        <is>
          <t>Снаряжение</t>
        </is>
      </c>
      <c r="C735" s="21" t="inlineStr">
        <is>
          <t>General</t>
        </is>
      </c>
      <c r="D735" s="21" t="inlineStr"/>
      <c r="E735" s="21" t="inlineStr"/>
      <c r="F735" s="31" t="n"/>
      <c r="G735" s="31" t="n"/>
      <c r="H735" s="31" t="n"/>
      <c r="I735" s="31" t="n"/>
      <c r="J735" s="31" t="n">
        <v>0</v>
      </c>
      <c r="K735" s="31" t="n">
        <v>0</v>
      </c>
      <c r="L735" s="31" t="n">
        <v>0</v>
      </c>
      <c r="M735" s="31" t="n">
        <v>0</v>
      </c>
      <c r="N735" s="21" t="inlineStr"/>
      <c r="O735" s="21" t="inlineStr"/>
      <c r="P735" s="21" t="inlineStr"/>
      <c r="Q735" s="21" t="inlineStr"/>
      <c r="R735" s="40" t="n">
        <v>50</v>
      </c>
      <c r="S735" s="21" t="inlineStr">
        <is>
          <t>CP:R 354</t>
        </is>
      </c>
      <c r="T735" s="21" t="inlineStr">
        <is>
          <t>About the size of a large book, this rechargeable amplifier delivers sound up to 100m/yd for up to 6 hours. Can support two instruments.</t>
        </is>
      </c>
    </row>
    <row r="736">
      <c r="A736" s="21" t="inlineStr">
        <is>
          <t>Professional Disguise Kit</t>
        </is>
      </c>
      <c r="B736" s="21" t="inlineStr">
        <is>
          <t>Снаряжение</t>
        </is>
      </c>
      <c r="C736" s="21" t="inlineStr">
        <is>
          <t>General</t>
        </is>
      </c>
      <c r="D736" s="21" t="inlineStr"/>
      <c r="E736" s="21" t="inlineStr"/>
      <c r="F736" s="31" t="n"/>
      <c r="G736" s="31" t="n"/>
      <c r="H736" s="31" t="n"/>
      <c r="I736" s="31" t="n"/>
      <c r="J736" s="31" t="n">
        <v>0</v>
      </c>
      <c r="K736" s="31" t="n">
        <v>0</v>
      </c>
      <c r="L736" s="31" t="n">
        <v>0</v>
      </c>
      <c r="M736" s="31" t="n">
        <v>0</v>
      </c>
      <c r="N736" s="21" t="inlineStr"/>
      <c r="O736" s="21" t="inlineStr"/>
      <c r="P736" s="21" t="inlineStr"/>
      <c r="Q736" s="21" t="inlineStr"/>
      <c r="R736" s="40" t="n">
        <v>100</v>
      </c>
      <c r="S736" s="21" t="inlineStr">
        <is>
          <t>DL:GQ 7</t>
        </is>
      </c>
      <c r="T736" s="21" t="inlineStr">
        <is>
          <t>Changing your mug is essential in this line of work, and that requires a good disguise kit. The technology has changed over the years, but it’s all still make-up, padding, and RealSkinnTM prosthetic appliances. Sure, you</t>
        </is>
      </c>
    </row>
    <row r="737">
      <c r="A737" s="21" t="inlineStr">
        <is>
          <t>Radiation Suit</t>
        </is>
      </c>
      <c r="B737" s="21" t="inlineStr">
        <is>
          <t>Снаряжение</t>
        </is>
      </c>
      <c r="C737" s="21" t="inlineStr">
        <is>
          <t>General</t>
        </is>
      </c>
      <c r="D737" s="21" t="inlineStr"/>
      <c r="E737" s="21" t="inlineStr"/>
      <c r="F737" s="31" t="n"/>
      <c r="G737" s="31" t="n"/>
      <c r="H737" s="31" t="n"/>
      <c r="I737" s="31" t="n"/>
      <c r="J737" s="31" t="n">
        <v>0</v>
      </c>
      <c r="K737" s="31" t="n">
        <v>0</v>
      </c>
      <c r="L737" s="31" t="n">
        <v>0</v>
      </c>
      <c r="M737" s="31" t="n">
        <v>0</v>
      </c>
      <c r="N737" s="21" t="inlineStr"/>
      <c r="O737" s="21" t="inlineStr"/>
      <c r="P737" s="21" t="inlineStr"/>
      <c r="Q737" s="21" t="inlineStr"/>
      <c r="R737" s="40" t="n">
        <v>1000</v>
      </c>
      <c r="S737" s="21" t="inlineStr">
        <is>
          <t>CP:R 101</t>
        </is>
      </c>
      <c r="T737" s="21" t="inlineStr">
        <is>
          <t>Protects you from radiation.</t>
        </is>
      </c>
    </row>
    <row r="738">
      <c r="A738" s="21" t="inlineStr">
        <is>
          <t>Radar Detector (Снаряжение)</t>
        </is>
      </c>
      <c r="B738" s="21" t="inlineStr">
        <is>
          <t>Снаряжение</t>
        </is>
      </c>
      <c r="C738" s="21" t="inlineStr">
        <is>
          <t>General</t>
        </is>
      </c>
      <c r="D738" s="21" t="inlineStr"/>
      <c r="E738" s="21" t="inlineStr"/>
      <c r="F738" s="31" t="n"/>
      <c r="G738" s="31" t="n"/>
      <c r="H738" s="31" t="n"/>
      <c r="I738" s="31" t="n"/>
      <c r="J738" s="31" t="n">
        <v>0</v>
      </c>
      <c r="K738" s="31" t="n">
        <v>0</v>
      </c>
      <c r="L738" s="31" t="n">
        <v>0</v>
      </c>
      <c r="M738" s="31" t="n">
        <v>0</v>
      </c>
      <c r="N738" s="21" t="inlineStr"/>
      <c r="O738" s="21" t="inlineStr"/>
      <c r="P738" s="21" t="inlineStr"/>
      <c r="Q738" s="21" t="inlineStr"/>
      <c r="R738" s="40" t="n">
        <v>500</v>
      </c>
      <c r="S738" s="21" t="inlineStr">
        <is>
          <t>CP:R 354</t>
        </is>
      </c>
      <c r="T738" s="21" t="inlineStr">
        <is>
          <t>Device beeps if an active radar beam is present within 100m/yds.</t>
        </is>
      </c>
    </row>
    <row r="739">
      <c r="A739" s="21" t="inlineStr">
        <is>
          <t>Radio Communicator (Снаряжение)</t>
        </is>
      </c>
      <c r="B739" s="21" t="inlineStr">
        <is>
          <t>Снаряжение</t>
        </is>
      </c>
      <c r="C739" s="21" t="inlineStr">
        <is>
          <t>General</t>
        </is>
      </c>
      <c r="D739" s="21" t="inlineStr"/>
      <c r="E739" s="21" t="inlineStr"/>
      <c r="F739" s="31" t="n"/>
      <c r="G739" s="31" t="n"/>
      <c r="H739" s="31" t="n"/>
      <c r="I739" s="31" t="n"/>
      <c r="J739" s="31" t="n">
        <v>0</v>
      </c>
      <c r="K739" s="31" t="n">
        <v>0</v>
      </c>
      <c r="L739" s="31" t="n">
        <v>0</v>
      </c>
      <c r="M739" s="31" t="n">
        <v>0</v>
      </c>
      <c r="N739" s="21" t="inlineStr"/>
      <c r="O739" s="21" t="inlineStr"/>
      <c r="P739" s="21" t="inlineStr"/>
      <c r="Q739" s="21" t="inlineStr"/>
      <c r="R739" s="40" t="n">
        <v>100</v>
      </c>
      <c r="S739" s="21" t="inlineStr">
        <is>
          <t>CP:R 354</t>
        </is>
      </c>
      <c r="T739" s="21" t="inlineStr">
        <is>
          <t>Earpiece allowing user to communicate via radio, 1-mile range.</t>
        </is>
      </c>
    </row>
    <row r="740">
      <c r="A740" s="21" t="inlineStr">
        <is>
          <t>Radio Scanner/Music Player (Снаряжение)</t>
        </is>
      </c>
      <c r="B740" s="21" t="inlineStr">
        <is>
          <t>Снаряжение</t>
        </is>
      </c>
      <c r="C740" s="21" t="inlineStr">
        <is>
          <t>General</t>
        </is>
      </c>
      <c r="D740" s="21" t="inlineStr"/>
      <c r="E740" s="21" t="inlineStr"/>
      <c r="F740" s="31" t="n"/>
      <c r="G740" s="31" t="n"/>
      <c r="H740" s="31" t="n"/>
      <c r="I740" s="31" t="n"/>
      <c r="J740" s="31" t="n">
        <v>0</v>
      </c>
      <c r="K740" s="31" t="n">
        <v>0</v>
      </c>
      <c r="L740" s="31" t="n">
        <v>0</v>
      </c>
      <c r="M740" s="31" t="n">
        <v>0</v>
      </c>
      <c r="N740" s="21" t="inlineStr"/>
      <c r="O740" s="21" t="inlineStr"/>
      <c r="P740" s="21" t="inlineStr"/>
      <c r="Q740" s="21" t="inlineStr"/>
      <c r="R740" s="40" t="n">
        <v>50</v>
      </c>
      <c r="S740" s="21" t="inlineStr">
        <is>
          <t>CP:R 354</t>
        </is>
      </c>
      <c r="T740" s="21" t="inlineStr">
        <is>
          <t>Music player can link to the Data Pool to listen to the hottest music, or play directly from a Memory Chip. User can also scan all radio bands within a mile that are currently being used and tune into them, though some c</t>
        </is>
      </c>
    </row>
    <row r="741">
      <c r="A741" s="21" t="inlineStr">
        <is>
          <t>RapiDeploy Sheath</t>
        </is>
      </c>
      <c r="B741" s="21" t="inlineStr">
        <is>
          <t>Снаряжение</t>
        </is>
      </c>
      <c r="C741" s="21" t="inlineStr">
        <is>
          <t>General</t>
        </is>
      </c>
      <c r="D741" s="21" t="inlineStr"/>
      <c r="E741" s="21" t="inlineStr"/>
      <c r="F741" s="31" t="n"/>
      <c r="G741" s="31" t="n"/>
      <c r="H741" s="31" t="n"/>
      <c r="I741" s="31" t="n"/>
      <c r="J741" s="31" t="n">
        <v>0</v>
      </c>
      <c r="K741" s="31" t="n">
        <v>0</v>
      </c>
      <c r="L741" s="31" t="n">
        <v>0</v>
      </c>
      <c r="M741" s="31" t="n">
        <v>0</v>
      </c>
      <c r="N741" s="21" t="inlineStr"/>
      <c r="O741" s="21" t="inlineStr"/>
      <c r="P741" s="21" t="inlineStr"/>
      <c r="Q741" s="21" t="inlineStr"/>
      <c r="R741" s="40" t="n">
        <v>500</v>
      </c>
      <c r="S741" s="21" t="inlineStr">
        <is>
          <t>BC 47</t>
        </is>
      </c>
      <c r="T741" s="21" t="inlineStr">
        <is>
          <t>Handmade by Gambler out of their workshop in Texas, this multipurpose rapid deployment sheath can be configured to fit pistols as well as light melee weapons and can be easily swapped between wrist and center-back deploy</t>
        </is>
      </c>
    </row>
    <row r="742">
      <c r="A742" s="21" t="inlineStr">
        <is>
          <t>Retina Lens</t>
        </is>
      </c>
      <c r="B742" s="21" t="inlineStr">
        <is>
          <t>Снаряжение</t>
        </is>
      </c>
      <c r="C742" s="21" t="inlineStr">
        <is>
          <t>General</t>
        </is>
      </c>
      <c r="D742" s="21" t="inlineStr"/>
      <c r="E742" s="21" t="inlineStr"/>
      <c r="F742" s="31" t="n"/>
      <c r="G742" s="31" t="n"/>
      <c r="H742" s="31" t="n"/>
      <c r="I742" s="31" t="n"/>
      <c r="J742" s="31" t="n">
        <v>0</v>
      </c>
      <c r="K742" s="31" t="n">
        <v>0</v>
      </c>
      <c r="L742" s="31" t="n">
        <v>0</v>
      </c>
      <c r="M742" s="31" t="n">
        <v>0</v>
      </c>
      <c r="N742" s="21" t="inlineStr"/>
      <c r="O742" s="21" t="inlineStr"/>
      <c r="P742" s="21" t="inlineStr"/>
      <c r="Q742" s="21" t="inlineStr"/>
      <c r="R742" s="40" t="n">
        <v>500</v>
      </c>
      <c r="S742" s="21" t="inlineStr">
        <is>
          <t>DL:GQ 7</t>
        </is>
      </c>
      <c r="T742" s="21" t="inlineStr">
        <is>
          <t>Even in the age of cyberware, a lot of Corporations use retinal scanners to lock high-level doors. It ain’t uncommon for big-time Execs with cyberoptics to imprint their old biological retinal patterns on their chrome to</t>
        </is>
      </c>
    </row>
    <row r="743">
      <c r="A743" s="21" t="inlineStr">
        <is>
          <t>Road Flare (Снаряжение)</t>
        </is>
      </c>
      <c r="B743" s="21" t="inlineStr">
        <is>
          <t>Снаряжение</t>
        </is>
      </c>
      <c r="C743" s="21" t="inlineStr">
        <is>
          <t>General</t>
        </is>
      </c>
      <c r="D743" s="21" t="inlineStr"/>
      <c r="E743" s="21" t="inlineStr"/>
      <c r="F743" s="31" t="n"/>
      <c r="G743" s="31" t="n"/>
      <c r="H743" s="31" t="n"/>
      <c r="I743" s="31" t="n"/>
      <c r="J743" s="31" t="n">
        <v>0</v>
      </c>
      <c r="K743" s="31" t="n">
        <v>0</v>
      </c>
      <c r="L743" s="31" t="n">
        <v>0</v>
      </c>
      <c r="M743" s="31" t="n">
        <v>0</v>
      </c>
      <c r="N743" s="21" t="inlineStr"/>
      <c r="O743" s="21" t="inlineStr"/>
      <c r="P743" s="21" t="inlineStr"/>
      <c r="Q743" s="21" t="inlineStr"/>
      <c r="R743" s="40" t="n">
        <v>10</v>
      </c>
      <c r="S743" s="21" t="inlineStr">
        <is>
          <t>CP:R 354</t>
        </is>
      </c>
      <c r="T743" s="21" t="inlineStr">
        <is>
          <t>Lights an area of 100m/yards for 1 hour. Different colors. One use</t>
        </is>
      </c>
    </row>
    <row r="744">
      <c r="A744" s="21" t="inlineStr">
        <is>
          <t>Rope (60m/yards)</t>
        </is>
      </c>
      <c r="B744" s="21" t="inlineStr">
        <is>
          <t>Снаряжение</t>
        </is>
      </c>
      <c r="C744" s="21" t="inlineStr">
        <is>
          <t>General</t>
        </is>
      </c>
      <c r="D744" s="21" t="inlineStr"/>
      <c r="E744" s="21" t="inlineStr"/>
      <c r="F744" s="31" t="n"/>
      <c r="G744" s="31" t="n"/>
      <c r="H744" s="31" t="n"/>
      <c r="I744" s="31" t="n"/>
      <c r="J744" s="31" t="n">
        <v>0</v>
      </c>
      <c r="K744" s="31" t="n">
        <v>0</v>
      </c>
      <c r="L744" s="31" t="n">
        <v>0</v>
      </c>
      <c r="M744" s="31" t="n">
        <v>0</v>
      </c>
      <c r="N744" s="21" t="inlineStr"/>
      <c r="O744" s="21" t="inlineStr"/>
      <c r="P744" s="21" t="inlineStr"/>
      <c r="Q744" s="21" t="inlineStr"/>
      <c r="R744" s="40" t="n">
        <v>20</v>
      </c>
      <c r="S744" s="21" t="inlineStr">
        <is>
          <t>CP:R 354</t>
        </is>
      </c>
      <c r="T744" s="21" t="inlineStr">
        <is>
          <t>Nylon rope. Can come in colors if desired. Holds up to 800lbs (360kg)</t>
        </is>
      </c>
    </row>
    <row r="745">
      <c r="A745" s="21" t="inlineStr">
        <is>
          <t>Scrambler/Descrambler (Снаряжение)</t>
        </is>
      </c>
      <c r="B745" s="21" t="inlineStr">
        <is>
          <t>Снаряжение</t>
        </is>
      </c>
      <c r="C745" s="21" t="inlineStr">
        <is>
          <t>General</t>
        </is>
      </c>
      <c r="D745" s="21" t="inlineStr"/>
      <c r="E745" s="21" t="inlineStr"/>
      <c r="F745" s="31" t="n"/>
      <c r="G745" s="31" t="n"/>
      <c r="H745" s="31" t="n"/>
      <c r="I745" s="31" t="n"/>
      <c r="J745" s="31" t="n">
        <v>0</v>
      </c>
      <c r="K745" s="31" t="n">
        <v>0</v>
      </c>
      <c r="L745" s="31" t="n">
        <v>0</v>
      </c>
      <c r="M745" s="31" t="n">
        <v>0</v>
      </c>
      <c r="N745" s="21" t="inlineStr"/>
      <c r="O745" s="21" t="inlineStr"/>
      <c r="P745" s="21" t="inlineStr"/>
      <c r="Q745" s="21" t="inlineStr"/>
      <c r="R745" s="40" t="n">
        <v>500</v>
      </c>
      <c r="S745" s="21" t="inlineStr">
        <is>
          <t>CP:R 354</t>
        </is>
      </c>
      <c r="T745" s="21" t="inlineStr">
        <is>
          <t>Allows user to scramble outgoing communications so they cannot be understood without a descrambler, which is also included at no extra charge.</t>
        </is>
      </c>
    </row>
    <row r="746">
      <c r="A746" s="21" t="inlineStr">
        <is>
          <t>Segotari RUSH (used)</t>
        </is>
      </c>
      <c r="B746" s="21" t="inlineStr">
        <is>
          <t>Снаряжение</t>
        </is>
      </c>
      <c r="C746" s="21" t="inlineStr">
        <is>
          <t>General</t>
        </is>
      </c>
      <c r="D746" s="21" t="inlineStr"/>
      <c r="E746" s="21" t="inlineStr"/>
      <c r="F746" s="31" t="n"/>
      <c r="G746" s="31" t="n"/>
      <c r="H746" s="31" t="n"/>
      <c r="I746" s="31" t="n"/>
      <c r="J746" s="31" t="n">
        <v>0</v>
      </c>
      <c r="K746" s="31" t="n">
        <v>0</v>
      </c>
      <c r="L746" s="31" t="n">
        <v>0</v>
      </c>
      <c r="M746" s="31" t="n">
        <v>0</v>
      </c>
      <c r="N746" s="21" t="inlineStr"/>
      <c r="O746" s="21" t="inlineStr"/>
      <c r="P746" s="21" t="inlineStr"/>
      <c r="Q746" s="21" t="inlineStr"/>
      <c r="R746" s="40" t="n">
        <v>100</v>
      </c>
      <c r="S746" s="21" t="inlineStr">
        <is>
          <t>DL:Sego 12</t>
        </is>
      </c>
      <c r="T746" s="21" t="inlineStr">
        <is>
          <t>Bulky, but manageable with the right neck pillow, the RUSH was the first console to offer virtuality gaming in your very own home. It was a major commercial success in 2018, and kick-started many beloved IPs, like Compas</t>
        </is>
      </c>
    </row>
    <row r="747">
      <c r="A747" s="21" t="inlineStr">
        <is>
          <t>Segotari RUSH Revolution</t>
        </is>
      </c>
      <c r="B747" s="21" t="inlineStr">
        <is>
          <t>Снаряжение</t>
        </is>
      </c>
      <c r="C747" s="21" t="inlineStr">
        <is>
          <t>General</t>
        </is>
      </c>
      <c r="D747" s="21" t="inlineStr"/>
      <c r="E747" s="21" t="inlineStr"/>
      <c r="F747" s="31" t="n"/>
      <c r="G747" s="31" t="n"/>
      <c r="H747" s="31" t="n"/>
      <c r="I747" s="31" t="n"/>
      <c r="J747" s="31" t="n">
        <v>0</v>
      </c>
      <c r="K747" s="31" t="n">
        <v>0</v>
      </c>
      <c r="L747" s="31" t="n">
        <v>0</v>
      </c>
      <c r="M747" s="31" t="n">
        <v>0</v>
      </c>
      <c r="N747" s="21" t="inlineStr"/>
      <c r="O747" s="21" t="inlineStr"/>
      <c r="P747" s="21" t="inlineStr"/>
      <c r="Q747" s="21" t="inlineStr"/>
      <c r="R747" s="40" t="n">
        <v>500</v>
      </c>
      <c r="S747" s="21" t="inlineStr">
        <is>
          <t>DL:Elf1 5 · IR1 44 · DL:Sego 12</t>
        </is>
      </c>
      <c r="T747" s="21" t="inlineStr">
        <is>
          <t>The Red has been bad for game fans … and I guess, everyone else, too. It took over two decades before Segotari bounced back hard enough to give us what we needed: a new console! By perfecting interactive braindance techn</t>
        </is>
      </c>
    </row>
    <row r="748">
      <c r="A748" s="21" t="inlineStr">
        <is>
          <t>Segotari VRIcade Cabinet</t>
        </is>
      </c>
      <c r="B748" s="21" t="inlineStr">
        <is>
          <t>Снаряжение</t>
        </is>
      </c>
      <c r="C748" s="21" t="inlineStr">
        <is>
          <t>General</t>
        </is>
      </c>
      <c r="D748" s="21" t="inlineStr"/>
      <c r="E748" s="21" t="inlineStr"/>
      <c r="F748" s="31" t="n"/>
      <c r="G748" s="31" t="n"/>
      <c r="H748" s="31" t="n"/>
      <c r="I748" s="31" t="n"/>
      <c r="J748" s="31" t="n">
        <v>0</v>
      </c>
      <c r="K748" s="31" t="n">
        <v>0</v>
      </c>
      <c r="L748" s="31" t="n">
        <v>0</v>
      </c>
      <c r="M748" s="31" t="n">
        <v>0</v>
      </c>
      <c r="N748" s="21" t="inlineStr"/>
      <c r="O748" s="21" t="inlineStr"/>
      <c r="P748" s="21" t="inlineStr"/>
      <c r="Q748" s="21" t="inlineStr"/>
      <c r="R748" s="40" t="n">
        <v>1000</v>
      </c>
      <c r="S748" s="21" t="inlineStr">
        <is>
          <t>DL:Sego 12</t>
        </is>
      </c>
      <c r="T748" s="21" t="inlineStr">
        <is>
          <t>VRIcade cabinets first debuted in arcades in the long ago year of 2014, and predate Segotari’s first modern console. They were powerful enough to run virtuality, but without any of the sensory interactive braindance tech</t>
        </is>
      </c>
    </row>
    <row r="749">
      <c r="A749" s="21" t="inlineStr">
        <is>
          <t>Shower in a Can</t>
        </is>
      </c>
      <c r="B749" s="21" t="inlineStr">
        <is>
          <t>Снаряжение</t>
        </is>
      </c>
      <c r="C749" s="21" t="inlineStr">
        <is>
          <t>General</t>
        </is>
      </c>
      <c r="D749" s="21" t="inlineStr"/>
      <c r="E749" s="21" t="inlineStr"/>
      <c r="F749" s="31" t="n"/>
      <c r="G749" s="31" t="n"/>
      <c r="H749" s="31" t="n"/>
      <c r="I749" s="31" t="n"/>
      <c r="J749" s="31" t="n">
        <v>0</v>
      </c>
      <c r="K749" s="31" t="n">
        <v>0</v>
      </c>
      <c r="L749" s="31" t="n">
        <v>0</v>
      </c>
      <c r="M749" s="31" t="n">
        <v>0</v>
      </c>
      <c r="N749" s="21" t="inlineStr"/>
      <c r="O749" s="21" t="inlineStr"/>
      <c r="P749" s="21" t="inlineStr"/>
      <c r="Q749" s="21" t="inlineStr"/>
      <c r="R749" s="40" t="n">
        <v>10</v>
      </c>
      <c r="S749" s="21" t="inlineStr">
        <is>
          <t>BC 38</t>
        </is>
      </c>
      <c r="T749" s="21" t="inlineStr">
        <is>
          <t>Stuck in a stake-out? Trapped in a transport? Lost in a long-term engagement? Just because you can’t shower doesn’t mean you should smell like it! The original S•I•C will disinfect and deodorize in two easy steps. Just s</t>
        </is>
      </c>
    </row>
    <row r="750">
      <c r="A750" s="21" t="inlineStr">
        <is>
          <t>SovOil Lubricants</t>
        </is>
      </c>
      <c r="B750" s="21" t="inlineStr">
        <is>
          <t>Снаряжение</t>
        </is>
      </c>
      <c r="C750" s="21" t="inlineStr">
        <is>
          <t>General</t>
        </is>
      </c>
      <c r="D750" s="21" t="inlineStr"/>
      <c r="E750" s="21" t="inlineStr"/>
      <c r="F750" s="31" t="n"/>
      <c r="G750" s="31" t="n"/>
      <c r="H750" s="31" t="n"/>
      <c r="I750" s="31" t="n"/>
      <c r="J750" s="31" t="n">
        <v>0</v>
      </c>
      <c r="K750" s="31" t="n">
        <v>0</v>
      </c>
      <c r="L750" s="31" t="n">
        <v>0</v>
      </c>
      <c r="M750" s="31" t="n">
        <v>0</v>
      </c>
      <c r="N750" s="21" t="inlineStr"/>
      <c r="O750" s="21" t="inlineStr"/>
      <c r="P750" s="21" t="inlineStr"/>
      <c r="Q750" s="21" t="inlineStr"/>
      <c r="R750" s="40" t="n">
        <v>10</v>
      </c>
      <c r="S750" s="21" t="inlineStr">
        <is>
          <t>BC 56</t>
        </is>
      </c>
      <c r="T750" s="21" t="inlineStr">
        <is>
          <t>SovOil sells a number of petroleum-based lubricants for various purposes. Their three most popular provide lubrication for medical uses such as first aid on burns and scrapes, personal use to ease sexual intercourse, and</t>
        </is>
      </c>
    </row>
    <row r="751">
      <c r="A751" s="21" t="inlineStr">
        <is>
          <t>Streetcase by SecSystems</t>
        </is>
      </c>
      <c r="B751" s="21" t="inlineStr">
        <is>
          <t>Снаряжение</t>
        </is>
      </c>
      <c r="C751" s="21" t="inlineStr">
        <is>
          <t>General</t>
        </is>
      </c>
      <c r="D751" s="21" t="inlineStr"/>
      <c r="E751" s="21" t="inlineStr"/>
      <c r="F751" s="31" t="n"/>
      <c r="G751" s="31" t="n"/>
      <c r="H751" s="31" t="n"/>
      <c r="I751" s="31" t="n"/>
      <c r="J751" s="31" t="n">
        <v>0</v>
      </c>
      <c r="K751" s="31" t="n">
        <v>0</v>
      </c>
      <c r="L751" s="31" t="n">
        <v>0</v>
      </c>
      <c r="M751" s="31" t="n">
        <v>0</v>
      </c>
      <c r="N751" s="21" t="inlineStr"/>
      <c r="O751" s="21" t="inlineStr"/>
      <c r="P751" s="21" t="inlineStr"/>
      <c r="Q751" s="21" t="inlineStr"/>
      <c r="R751" s="40" t="n">
        <v>500</v>
      </c>
      <c r="S751" s="21" t="inlineStr">
        <is>
          <t>BC 47</t>
        </is>
      </c>
      <c r="T751" s="21" t="inlineStr">
        <is>
          <t>Part of the ExecAttire line, the Streetcase by SecSystems has everything you need to survive the corporate ladder, with ample room inside for your important papers, a laptop computer, a holster for a Heavy Pistol, a remo</t>
        </is>
      </c>
    </row>
    <row r="752">
      <c r="A752" s="21" t="inlineStr">
        <is>
          <t>Tech Bag</t>
        </is>
      </c>
      <c r="B752" s="21" t="inlineStr">
        <is>
          <t>Снаряжение</t>
        </is>
      </c>
      <c r="C752" s="21" t="inlineStr">
        <is>
          <t>General</t>
        </is>
      </c>
      <c r="D752" s="21" t="inlineStr"/>
      <c r="E752" s="21" t="inlineStr"/>
      <c r="F752" s="31" t="n"/>
      <c r="G752" s="31" t="n"/>
      <c r="H752" s="31" t="n"/>
      <c r="I752" s="31" t="n"/>
      <c r="J752" s="31" t="n">
        <v>0</v>
      </c>
      <c r="K752" s="31" t="n">
        <v>0</v>
      </c>
      <c r="L752" s="31" t="n">
        <v>0</v>
      </c>
      <c r="M752" s="31" t="n">
        <v>0</v>
      </c>
      <c r="N752" s="21" t="inlineStr"/>
      <c r="O752" s="21" t="inlineStr"/>
      <c r="P752" s="21" t="inlineStr"/>
      <c r="Q752" s="21" t="inlineStr"/>
      <c r="R752" s="40" t="n">
        <v>500</v>
      </c>
      <c r="S752" s="21" t="inlineStr">
        <is>
          <t>CP:R 354</t>
        </is>
      </c>
      <c r="T752" s="21" t="inlineStr">
        <is>
          <t>Small bag of tools for fixing electronics and machines. Includes a Techtool, electrical parts like tape and wire wraps, asst. screws and bolts, plug in modules for repairs, heat torch, 2 small prybars, and hammer</t>
        </is>
      </c>
    </row>
    <row r="753">
      <c r="A753" s="21" t="inlineStr">
        <is>
          <t>Techscanner</t>
        </is>
      </c>
      <c r="B753" s="21" t="inlineStr">
        <is>
          <t>Снаряжение</t>
        </is>
      </c>
      <c r="C753" s="21" t="inlineStr">
        <is>
          <t>General</t>
        </is>
      </c>
      <c r="D753" s="21" t="inlineStr"/>
      <c r="E753" s="21" t="inlineStr"/>
      <c r="F753" s="31" t="n"/>
      <c r="G753" s="31" t="n"/>
      <c r="H753" s="31" t="n"/>
      <c r="I753" s="31" t="n"/>
      <c r="J753" s="31" t="n">
        <v>0</v>
      </c>
      <c r="K753" s="31" t="n">
        <v>0</v>
      </c>
      <c r="L753" s="31" t="n">
        <v>0</v>
      </c>
      <c r="M753" s="31" t="n">
        <v>0</v>
      </c>
      <c r="N753" s="21" t="inlineStr"/>
      <c r="O753" s="21" t="inlineStr"/>
      <c r="P753" s="21" t="inlineStr"/>
      <c r="Q753" s="21" t="inlineStr"/>
      <c r="R753" s="40" t="n">
        <v>1000</v>
      </c>
      <c r="S753" s="21" t="inlineStr">
        <is>
          <t>CP:R 354</t>
        </is>
      </c>
      <c r="T753" s="21" t="inlineStr">
        <is>
          <t>Scanner diagnoses a wide variety of machinery and electronics, assisting the user in repairs, or other technical work. User adds +2 to their Basic Tech, Cybertech, Land Vehicle Tech, Sea Vehicle Tech, Air Vehicle Tech, E</t>
        </is>
      </c>
    </row>
    <row r="754">
      <c r="A754" s="21" t="inlineStr">
        <is>
          <t>Techtool</t>
        </is>
      </c>
      <c r="B754" s="21" t="inlineStr">
        <is>
          <t>Снаряжение</t>
        </is>
      </c>
      <c r="C754" s="21" t="inlineStr">
        <is>
          <t>General</t>
        </is>
      </c>
      <c r="D754" s="21" t="inlineStr"/>
      <c r="E754" s="21" t="inlineStr"/>
      <c r="F754" s="31" t="n"/>
      <c r="G754" s="31" t="n"/>
      <c r="H754" s="31" t="n"/>
      <c r="I754" s="31" t="n"/>
      <c r="J754" s="31" t="n">
        <v>0</v>
      </c>
      <c r="K754" s="31" t="n">
        <v>0</v>
      </c>
      <c r="L754" s="31" t="n">
        <v>0</v>
      </c>
      <c r="M754" s="31" t="n">
        <v>0</v>
      </c>
      <c r="N754" s="21" t="inlineStr"/>
      <c r="O754" s="21" t="inlineStr"/>
      <c r="P754" s="21" t="inlineStr"/>
      <c r="Q754" s="21" t="inlineStr"/>
      <c r="R754" s="40" t="n">
        <v>100</v>
      </c>
      <c r="S754" s="21" t="inlineStr">
        <is>
          <t>CP:R 355</t>
        </is>
      </c>
      <c r="T754" s="21" t="inlineStr">
        <is>
          <t>An all-in-one tool. The various parts, including a small utility blade, pliers, various screwdrivers, files, and clippers all fold up into a compact and easy to carry package</t>
        </is>
      </c>
    </row>
    <row r="755">
      <c r="A755" s="21" t="inlineStr">
        <is>
          <t>Tent and Camping Equipment</t>
        </is>
      </c>
      <c r="B755" s="21" t="inlineStr">
        <is>
          <t>Снаряжение</t>
        </is>
      </c>
      <c r="C755" s="21" t="inlineStr">
        <is>
          <t>General</t>
        </is>
      </c>
      <c r="D755" s="21" t="inlineStr"/>
      <c r="E755" s="21" t="inlineStr"/>
      <c r="F755" s="31" t="n"/>
      <c r="G755" s="31" t="n"/>
      <c r="H755" s="31" t="n"/>
      <c r="I755" s="31" t="n"/>
      <c r="J755" s="31" t="n">
        <v>0</v>
      </c>
      <c r="K755" s="31" t="n">
        <v>0</v>
      </c>
      <c r="L755" s="31" t="n">
        <v>0</v>
      </c>
      <c r="M755" s="31" t="n">
        <v>0</v>
      </c>
      <c r="N755" s="21" t="inlineStr"/>
      <c r="O755" s="21" t="inlineStr"/>
      <c r="P755" s="21" t="inlineStr"/>
      <c r="Q755" s="21" t="inlineStr"/>
      <c r="R755" s="40" t="n">
        <v>50</v>
      </c>
      <c r="S755" s="21" t="inlineStr">
        <is>
          <t>CP:R 355</t>
        </is>
      </c>
      <c r="T755" s="21" t="inlineStr">
        <is>
          <t>Small one-person tube tent with plastic stakes, one self-heating, rechargeable pot to boil water (takes 5 min to recharge, lasts 2 hours) and a cheap metal spork that couldn't hurt a fly.</t>
        </is>
      </c>
    </row>
    <row r="756">
      <c r="A756" s="21" t="inlineStr">
        <is>
          <t>Thermal Decoy</t>
        </is>
      </c>
      <c r="B756" s="21" t="inlineStr">
        <is>
          <t>Снаряжение</t>
        </is>
      </c>
      <c r="C756" s="21" t="inlineStr">
        <is>
          <t>General</t>
        </is>
      </c>
      <c r="D756" s="21" t="inlineStr"/>
      <c r="E756" s="21" t="inlineStr"/>
      <c r="F756" s="31" t="n"/>
      <c r="G756" s="31" t="n"/>
      <c r="H756" s="31" t="n"/>
      <c r="I756" s="31" t="n"/>
      <c r="J756" s="31" t="n">
        <v>0</v>
      </c>
      <c r="K756" s="31" t="n">
        <v>0</v>
      </c>
      <c r="L756" s="31" t="n">
        <v>0</v>
      </c>
      <c r="M756" s="31" t="n">
        <v>0</v>
      </c>
      <c r="N756" s="21" t="inlineStr"/>
      <c r="O756" s="21" t="inlineStr"/>
      <c r="P756" s="21" t="inlineStr"/>
      <c r="Q756" s="21" t="inlineStr"/>
      <c r="R756" s="40" t="n">
        <v>100</v>
      </c>
      <c r="S756" s="21" t="inlineStr">
        <is>
          <t>IR5 123</t>
        </is>
      </c>
      <c r="T756" s="21" t="inlineStr">
        <is>
          <t>A Thermal Decoy is an inflatable filled with a heated gas which makes it appear to be a person to Smart and Tech Weapons, Infrared Nightvision Scopes, and Low-Light / Infrared / UV. In high-pressure situations, a Thermal</t>
        </is>
      </c>
    </row>
    <row r="757">
      <c r="A757" s="21" t="inlineStr">
        <is>
          <t>Umbrella</t>
        </is>
      </c>
      <c r="B757" s="21" t="inlineStr">
        <is>
          <t>Снаряжение</t>
        </is>
      </c>
      <c r="C757" s="21" t="inlineStr">
        <is>
          <t>General</t>
        </is>
      </c>
      <c r="D757" s="21" t="inlineStr"/>
      <c r="E757" s="21" t="inlineStr"/>
      <c r="F757" s="31" t="n"/>
      <c r="G757" s="31" t="n"/>
      <c r="H757" s="31" t="n"/>
      <c r="I757" s="31" t="n"/>
      <c r="J757" s="31" t="n">
        <v>0</v>
      </c>
      <c r="K757" s="31" t="n">
        <v>0</v>
      </c>
      <c r="L757" s="31" t="n">
        <v>0</v>
      </c>
      <c r="M757" s="31" t="n">
        <v>0</v>
      </c>
      <c r="N757" s="21" t="inlineStr"/>
      <c r="O757" s="21" t="inlineStr"/>
      <c r="P757" s="21" t="inlineStr"/>
      <c r="Q757" s="21" t="inlineStr"/>
      <c r="R757" s="40" t="n">
        <v>10</v>
      </c>
      <c r="S757" s="21" t="inlineStr">
        <is>
          <t>DL:We 6 · IR2 20</t>
        </is>
      </c>
      <c r="T757" s="21" t="inlineStr">
        <is>
          <t>An Umbrella is a device used to keep you dry when it's raining, and also protect you from dangerous Acid Rain and Blood Rain.</t>
        </is>
      </c>
    </row>
    <row r="758">
      <c r="A758" s="21" t="inlineStr">
        <is>
          <t>Video Camera</t>
        </is>
      </c>
      <c r="B758" s="21" t="inlineStr">
        <is>
          <t>Снаряжение</t>
        </is>
      </c>
      <c r="C758" s="21" t="inlineStr">
        <is>
          <t>General</t>
        </is>
      </c>
      <c r="D758" s="21" t="inlineStr"/>
      <c r="E758" s="21" t="inlineStr"/>
      <c r="F758" s="31" t="n"/>
      <c r="G758" s="31" t="n"/>
      <c r="H758" s="31" t="n"/>
      <c r="I758" s="31" t="n"/>
      <c r="J758" s="31" t="n">
        <v>0</v>
      </c>
      <c r="K758" s="31" t="n">
        <v>0</v>
      </c>
      <c r="L758" s="31" t="n">
        <v>0</v>
      </c>
      <c r="M758" s="31" t="n">
        <v>0</v>
      </c>
      <c r="N758" s="21" t="inlineStr"/>
      <c r="O758" s="21" t="inlineStr"/>
      <c r="P758" s="21" t="inlineStr"/>
      <c r="Q758" s="21" t="inlineStr"/>
      <c r="R758" s="40" t="n">
        <v>100</v>
      </c>
      <c r="S758" s="21" t="inlineStr">
        <is>
          <t>CP:R 355</t>
        </is>
      </c>
      <c r="T758" s="21" t="inlineStr">
        <is>
          <t>When held in a hand, user can record up to 12 hours of video and audio before its output fills up a standard Memory Chip stored in the device.</t>
        </is>
      </c>
    </row>
    <row r="759">
      <c r="A759" s="21" t="inlineStr">
        <is>
          <t>Virtuality Goggles</t>
        </is>
      </c>
      <c r="B759" s="21" t="inlineStr">
        <is>
          <t>Снаряжение</t>
        </is>
      </c>
      <c r="C759" s="21" t="inlineStr">
        <is>
          <t>General</t>
        </is>
      </c>
      <c r="D759" s="21" t="inlineStr"/>
      <c r="E759" s="21" t="inlineStr"/>
      <c r="F759" s="31" t="n"/>
      <c r="G759" s="31" t="n"/>
      <c r="H759" s="31" t="n"/>
      <c r="I759" s="31" t="n"/>
      <c r="J759" s="31" t="n">
        <v>0</v>
      </c>
      <c r="K759" s="31" t="n">
        <v>0</v>
      </c>
      <c r="L759" s="31" t="n">
        <v>0</v>
      </c>
      <c r="M759" s="31" t="n">
        <v>0</v>
      </c>
      <c r="N759" s="21" t="inlineStr"/>
      <c r="O759" s="21" t="inlineStr"/>
      <c r="P759" s="21" t="inlineStr"/>
      <c r="Q759" s="21" t="inlineStr"/>
      <c r="R759" s="40" t="n">
        <v>100</v>
      </c>
      <c r="S759" s="21" t="inlineStr">
        <is>
          <t>CP:R 355</t>
        </is>
      </c>
      <c r="T759" s="21" t="inlineStr">
        <is>
          <t>Headset that projects cyberspace imagery over your view of the world around you. Highly advised for Netrunners. See Netrunning Section on pg. 195 for more info.</t>
        </is>
      </c>
    </row>
    <row r="760">
      <c r="A760" s="21" t="inlineStr">
        <is>
          <t>WorldSat Aerial Sphere</t>
        </is>
      </c>
      <c r="B760" s="21" t="inlineStr">
        <is>
          <t>Снаряжение</t>
        </is>
      </c>
      <c r="C760" s="21" t="inlineStr">
        <is>
          <t>General</t>
        </is>
      </c>
      <c r="D760" s="21" t="inlineStr"/>
      <c r="E760" s="21" t="inlineStr"/>
      <c r="F760" s="31" t="n"/>
      <c r="G760" s="31" t="n"/>
      <c r="H760" s="31" t="n"/>
      <c r="I760" s="31" t="n"/>
      <c r="J760" s="31" t="n">
        <v>0</v>
      </c>
      <c r="K760" s="31" t="n">
        <v>0</v>
      </c>
      <c r="L760" s="31" t="n">
        <v>0</v>
      </c>
      <c r="M760" s="31" t="n">
        <v>0</v>
      </c>
      <c r="N760" s="21" t="inlineStr"/>
      <c r="O760" s="21" t="inlineStr"/>
      <c r="P760" s="21" t="inlineStr"/>
      <c r="Q760" s="21" t="inlineStr"/>
      <c r="R760" s="40" t="n">
        <v>1000</v>
      </c>
      <c r="S760" s="21" t="inlineStr">
        <is>
          <t>BC 50</t>
        </is>
      </c>
      <c r="T760" s="21" t="inlineStr">
        <is>
          <t>With the fall of the global NET, WorldSat suffered devastating financial losses. As they struggled to keep communications afloat, their R&amp;D department devised ways to link cities and long-distance networks using somethin</t>
        </is>
      </c>
    </row>
    <row r="761">
      <c r="A761" s="21" t="inlineStr">
        <is>
          <t>Zetatech Porta-Printer</t>
        </is>
      </c>
      <c r="B761" s="21" t="inlineStr">
        <is>
          <t>Снаряжение</t>
        </is>
      </c>
      <c r="C761" s="21" t="inlineStr">
        <is>
          <t>General</t>
        </is>
      </c>
      <c r="D761" s="21" t="inlineStr"/>
      <c r="E761" s="21" t="inlineStr"/>
      <c r="F761" s="31" t="n"/>
      <c r="G761" s="31" t="n"/>
      <c r="H761" s="31" t="n"/>
      <c r="I761" s="31" t="n"/>
      <c r="J761" s="31" t="n">
        <v>0</v>
      </c>
      <c r="K761" s="31" t="n">
        <v>0</v>
      </c>
      <c r="L761" s="31" t="n">
        <v>0</v>
      </c>
      <c r="M761" s="31" t="n">
        <v>0</v>
      </c>
      <c r="N761" s="21" t="inlineStr"/>
      <c r="O761" s="21" t="inlineStr"/>
      <c r="P761" s="21" t="inlineStr"/>
      <c r="Q761" s="21" t="inlineStr"/>
      <c r="R761" s="40" t="n">
        <v>1000</v>
      </c>
      <c r="S761" s="21" t="inlineStr">
        <is>
          <t>BC 43</t>
        </is>
      </c>
      <c r="T761" s="21" t="inlineStr">
        <is>
          <t>Zetatech emerged at the tail end of the 4th Corporate War as a household name for economy 3D printers. Their latest product is the Porta-Printer, a reliable 3D printer built into a backpack for the Tech on the go. The Po</t>
        </is>
      </c>
    </row>
    <row r="762">
      <c r="A762" s="21" t="inlineStr">
        <is>
          <t>Zetatech Tank Commander</t>
        </is>
      </c>
      <c r="B762" s="21" t="inlineStr">
        <is>
          <t>Снаряжение</t>
        </is>
      </c>
      <c r="C762" s="21" t="inlineStr">
        <is>
          <t>General</t>
        </is>
      </c>
      <c r="D762" s="21" t="inlineStr"/>
      <c r="E762" s="21" t="inlineStr"/>
      <c r="F762" s="31" t="n"/>
      <c r="G762" s="31" t="n"/>
      <c r="H762" s="31" t="n"/>
      <c r="I762" s="31" t="n"/>
      <c r="J762" s="31" t="n">
        <v>0</v>
      </c>
      <c r="K762" s="31" t="n">
        <v>0</v>
      </c>
      <c r="L762" s="31" t="n">
        <v>0</v>
      </c>
      <c r="M762" s="31" t="n">
        <v>0</v>
      </c>
      <c r="N762" s="21" t="inlineStr"/>
      <c r="O762" s="21" t="inlineStr"/>
      <c r="P762" s="21" t="inlineStr"/>
      <c r="Q762" s="21" t="inlineStr"/>
      <c r="R762" s="40" t="n">
        <v>100</v>
      </c>
      <c r="S762" s="21" t="inlineStr">
        <is>
          <t>DL:GQ 7</t>
        </is>
      </c>
      <c r="T762" s="21" t="inlineStr">
        <is>
          <t xml:space="preserve">When you’re trying for a clean sneak, sound’s your enemy. Nothing like having your radio squawk when you’re hiding under a desk, waiting for a mark to walk away. Grab a stealth headset. Throat mic picks up subvocals, so </t>
        </is>
      </c>
    </row>
    <row r="763">
      <c r="A763" s="21" t="inlineStr">
        <is>
          <t>Gun License</t>
        </is>
      </c>
      <c r="B763" s="21" t="inlineStr">
        <is>
          <t>Услуги и жильё</t>
        </is>
      </c>
      <c r="C763" s="21" t="inlineStr">
        <is>
          <t>General</t>
        </is>
      </c>
      <c r="D763" s="21" t="inlineStr"/>
      <c r="E763" s="21" t="inlineStr"/>
      <c r="F763" s="31" t="n"/>
      <c r="G763" s="31" t="n"/>
      <c r="H763" s="31" t="n"/>
      <c r="I763" s="31" t="n"/>
      <c r="J763" s="31" t="n">
        <v>0</v>
      </c>
      <c r="K763" s="31" t="n">
        <v>0</v>
      </c>
      <c r="L763" s="31" t="n">
        <v>0</v>
      </c>
      <c r="M763" s="31" t="n">
        <v>0</v>
      </c>
      <c r="N763" s="21" t="inlineStr"/>
      <c r="O763" s="21" t="inlineStr"/>
      <c r="P763" s="21" t="inlineStr"/>
      <c r="Q763" s="21" t="inlineStr"/>
      <c r="R763" s="40" t="n">
        <v>20</v>
      </c>
      <c r="S763" s="21" t="inlineStr">
        <is>
          <t>CP:R 321</t>
        </is>
      </c>
      <c r="T763" s="21" t="inlineStr">
        <is>
          <t>By 1997, even the most well-intentioned gun-control statutes were buried under a wave of public protest as crime rates made America a siege state. Self-defense soon became an American lifestyle, and there was an explosiv</t>
        </is>
      </c>
    </row>
    <row r="764">
      <c r="A764" s="21" t="inlineStr">
        <is>
          <t>Braindance</t>
        </is>
      </c>
      <c r="B764" s="21" t="inlineStr">
        <is>
          <t>Услуги и жильё</t>
        </is>
      </c>
      <c r="C764" s="21" t="inlineStr">
        <is>
          <t>General</t>
        </is>
      </c>
      <c r="D764" s="21" t="inlineStr"/>
      <c r="E764" s="21" t="inlineStr"/>
      <c r="F764" s="31" t="n"/>
      <c r="G764" s="31" t="n"/>
      <c r="H764" s="31" t="n"/>
      <c r="I764" s="31" t="n"/>
      <c r="J764" s="31" t="n">
        <v>0</v>
      </c>
      <c r="K764" s="31" t="n">
        <v>0</v>
      </c>
      <c r="L764" s="31" t="n">
        <v>0</v>
      </c>
      <c r="M764" s="31" t="n">
        <v>0</v>
      </c>
      <c r="N764" s="21" t="inlineStr"/>
      <c r="O764" s="21" t="inlineStr"/>
      <c r="P764" s="21" t="inlineStr"/>
      <c r="Q764" s="21" t="inlineStr"/>
      <c r="R764" s="40" t="n">
        <v>20</v>
      </c>
      <c r="S764" s="21" t="inlineStr">
        <is>
          <t>CP:R 376</t>
        </is>
      </c>
      <c r="T764" s="21" t="inlineStr">
        <is>
          <t>An offshoot of the same neural interface technology that spawned the cyberware revolution, braindance is considered the purest form of entertainment around. The braindance unit consists of a memory chip playback unit and</t>
        </is>
      </c>
    </row>
    <row r="765">
      <c r="A765" s="21" t="inlineStr">
        <is>
          <t>Hotel</t>
        </is>
      </c>
      <c r="B765" s="21" t="inlineStr">
        <is>
          <t>Услуги и жильё</t>
        </is>
      </c>
      <c r="C765" s="21" t="inlineStr">
        <is>
          <t>General</t>
        </is>
      </c>
      <c r="D765" s="21" t="inlineStr"/>
      <c r="E765" s="21" t="inlineStr"/>
      <c r="F765" s="31" t="n"/>
      <c r="G765" s="31" t="n"/>
      <c r="H765" s="31" t="n"/>
      <c r="I765" s="31" t="n"/>
      <c r="J765" s="31" t="n">
        <v>0</v>
      </c>
      <c r="K765" s="31" t="n">
        <v>0</v>
      </c>
      <c r="L765" s="31" t="n">
        <v>0</v>
      </c>
      <c r="M765" s="31" t="n">
        <v>0</v>
      </c>
      <c r="N765" s="21" t="inlineStr"/>
      <c r="O765" s="21" t="inlineStr"/>
      <c r="P765" s="21" t="inlineStr"/>
      <c r="Q765" s="21" t="inlineStr"/>
      <c r="R765" s="40" t="n">
        <v>100</v>
      </c>
      <c r="S765" s="21" t="inlineStr">
        <is>
          <t>CP:R 376</t>
        </is>
      </c>
      <c r="T765" s="21" t="inlineStr">
        <is>
          <t>Price per Night. Bad service (if any) and nasty rooms. Best for one night stands and suspicios deals.</t>
        </is>
      </c>
    </row>
    <row r="766">
      <c r="A766" s="21" t="inlineStr">
        <is>
          <t>Hotel (Luxury)</t>
        </is>
      </c>
      <c r="B766" s="21" t="inlineStr">
        <is>
          <t>Услуги и жильё</t>
        </is>
      </c>
      <c r="C766" s="21" t="inlineStr">
        <is>
          <t>General</t>
        </is>
      </c>
      <c r="D766" s="21" t="inlineStr"/>
      <c r="E766" s="21" t="inlineStr"/>
      <c r="F766" s="31" t="n"/>
      <c r="G766" s="31" t="n"/>
      <c r="H766" s="31" t="n"/>
      <c r="I766" s="31" t="n"/>
      <c r="J766" s="31" t="n">
        <v>0</v>
      </c>
      <c r="K766" s="31" t="n">
        <v>0</v>
      </c>
      <c r="L766" s="31" t="n">
        <v>0</v>
      </c>
      <c r="M766" s="31" t="n">
        <v>0</v>
      </c>
      <c r="N766" s="21" t="inlineStr"/>
      <c r="O766" s="21" t="inlineStr"/>
      <c r="P766" s="21" t="inlineStr"/>
      <c r="Q766" s="21" t="inlineStr"/>
      <c r="R766" s="40" t="n">
        <v>500</v>
      </c>
      <c r="S766" s="21" t="inlineStr">
        <is>
          <t>CP:R 376</t>
        </is>
      </c>
      <c r="T766" s="21" t="inlineStr">
        <is>
          <t>Price per Night. All inclusive service and friendly staff. Suitable for signing deals and elite hookers.</t>
        </is>
      </c>
    </row>
    <row r="767">
      <c r="A767" s="21" t="inlineStr">
        <is>
          <t>Interactive Braindance</t>
        </is>
      </c>
      <c r="B767" s="21" t="inlineStr">
        <is>
          <t>Услуги и жильё</t>
        </is>
      </c>
      <c r="C767" s="21" t="inlineStr">
        <is>
          <t>General</t>
        </is>
      </c>
      <c r="D767" s="21" t="inlineStr"/>
      <c r="E767" s="21" t="inlineStr"/>
      <c r="F767" s="31" t="n"/>
      <c r="G767" s="31" t="n"/>
      <c r="H767" s="31" t="n"/>
      <c r="I767" s="31" t="n"/>
      <c r="J767" s="31" t="n">
        <v>0</v>
      </c>
      <c r="K767" s="31" t="n">
        <v>0</v>
      </c>
      <c r="L767" s="31" t="n">
        <v>0</v>
      </c>
      <c r="M767" s="31" t="n">
        <v>0</v>
      </c>
      <c r="N767" s="21" t="inlineStr"/>
      <c r="O767" s="21" t="inlineStr"/>
      <c r="P767" s="21" t="inlineStr"/>
      <c r="Q767" s="21" t="inlineStr"/>
      <c r="R767" s="40" t="n">
        <v>50</v>
      </c>
      <c r="S767" s="21" t="inlineStr">
        <is>
          <t>CP:R 376</t>
        </is>
      </c>
      <c r="T767" s="21" t="inlineStr">
        <is>
          <t>An offshoot of the same neural interface technology that spawned the cyberware revolution, braindance is considered the purest form of entertainment around. The braindance unit consists of a memory chip playback unit and</t>
        </is>
      </c>
    </row>
    <row r="768">
      <c r="A768" s="21" t="inlineStr">
        <is>
          <t>Live Concert/Sporting Event</t>
        </is>
      </c>
      <c r="B768" s="21" t="inlineStr">
        <is>
          <t>Услуги и жильё</t>
        </is>
      </c>
      <c r="C768" s="21" t="inlineStr">
        <is>
          <t>General</t>
        </is>
      </c>
      <c r="D768" s="21" t="inlineStr"/>
      <c r="E768" s="21" t="inlineStr"/>
      <c r="F768" s="31" t="n"/>
      <c r="G768" s="31" t="n"/>
      <c r="H768" s="31" t="n"/>
      <c r="I768" s="31" t="n"/>
      <c r="J768" s="31" t="n">
        <v>0</v>
      </c>
      <c r="K768" s="31" t="n">
        <v>0</v>
      </c>
      <c r="L768" s="31" t="n">
        <v>0</v>
      </c>
      <c r="M768" s="31" t="n">
        <v>0</v>
      </c>
      <c r="N768" s="21" t="inlineStr"/>
      <c r="O768" s="21" t="inlineStr"/>
      <c r="P768" s="21" t="inlineStr"/>
      <c r="Q768" s="21" t="inlineStr"/>
      <c r="R768" s="40" t="n">
        <v>100</v>
      </c>
      <c r="S768" s="21" t="inlineStr">
        <is>
          <t>CP:R 376</t>
        </is>
      </c>
      <c r="T768" s="21" t="inlineStr">
        <is>
          <t>Can be Night City Corsairs, Tainted Overlord, Slavoj McAllister, Tinnitus etc.</t>
        </is>
      </c>
    </row>
    <row r="769">
      <c r="A769" s="21" t="inlineStr">
        <is>
          <t>Movie</t>
        </is>
      </c>
      <c r="B769" s="21" t="inlineStr">
        <is>
          <t>Услуги и жильё</t>
        </is>
      </c>
      <c r="C769" s="21" t="inlineStr">
        <is>
          <t>General</t>
        </is>
      </c>
      <c r="D769" s="21" t="inlineStr"/>
      <c r="E769" s="21" t="inlineStr"/>
      <c r="F769" s="31" t="n"/>
      <c r="G769" s="31" t="n"/>
      <c r="H769" s="31" t="n"/>
      <c r="I769" s="31" t="n"/>
      <c r="J769" s="31" t="n">
        <v>0</v>
      </c>
      <c r="K769" s="31" t="n">
        <v>0</v>
      </c>
      <c r="L769" s="31" t="n">
        <v>0</v>
      </c>
      <c r="M769" s="31" t="n">
        <v>0</v>
      </c>
      <c r="N769" s="21" t="inlineStr"/>
      <c r="O769" s="21" t="inlineStr"/>
      <c r="P769" s="21" t="inlineStr"/>
      <c r="Q769" s="21" t="inlineStr"/>
      <c r="R769" s="40" t="n">
        <v>20</v>
      </c>
      <c r="S769" s="21" t="inlineStr">
        <is>
          <t>CP:R 376</t>
        </is>
      </c>
      <c r="T769" s="21" t="inlineStr">
        <is>
          <t>Best from Hollywood and N54.</t>
        </is>
      </c>
    </row>
    <row r="770">
      <c r="A770" s="21" t="inlineStr">
        <is>
          <t>Pro Services (Excellent)</t>
        </is>
      </c>
      <c r="B770" s="21" t="inlineStr">
        <is>
          <t>Услуги и жильё</t>
        </is>
      </c>
      <c r="C770" s="21" t="inlineStr">
        <is>
          <t>General</t>
        </is>
      </c>
      <c r="D770" s="21" t="inlineStr"/>
      <c r="E770" s="21" t="inlineStr"/>
      <c r="F770" s="31" t="n"/>
      <c r="G770" s="31" t="n"/>
      <c r="H770" s="31" t="n"/>
      <c r="I770" s="31" t="n"/>
      <c r="J770" s="31" t="n">
        <v>0</v>
      </c>
      <c r="K770" s="31" t="n">
        <v>0</v>
      </c>
      <c r="L770" s="31" t="n">
        <v>0</v>
      </c>
      <c r="M770" s="31" t="n">
        <v>0</v>
      </c>
      <c r="N770" s="21" t="inlineStr"/>
      <c r="O770" s="21" t="inlineStr"/>
      <c r="P770" s="21" t="inlineStr"/>
      <c r="Q770" s="21" t="inlineStr"/>
      <c r="R770" s="40" t="n">
        <v>500</v>
      </c>
      <c r="S770" s="21" t="inlineStr">
        <is>
          <t>CP:R 376</t>
        </is>
      </c>
      <c r="T770" s="21" t="inlineStr">
        <is>
          <t>Price per Hour.</t>
        </is>
      </c>
    </row>
    <row r="771">
      <c r="A771" s="21" t="inlineStr">
        <is>
          <t>Pro Services (Good)</t>
        </is>
      </c>
      <c r="B771" s="21" t="inlineStr">
        <is>
          <t>Услуги и жильё</t>
        </is>
      </c>
      <c r="C771" s="21" t="inlineStr">
        <is>
          <t>General</t>
        </is>
      </c>
      <c r="D771" s="21" t="inlineStr"/>
      <c r="E771" s="21" t="inlineStr"/>
      <c r="F771" s="31" t="n"/>
      <c r="G771" s="31" t="n"/>
      <c r="H771" s="31" t="n"/>
      <c r="I771" s="31" t="n"/>
      <c r="J771" s="31" t="n">
        <v>0</v>
      </c>
      <c r="K771" s="31" t="n">
        <v>0</v>
      </c>
      <c r="L771" s="31" t="n">
        <v>0</v>
      </c>
      <c r="M771" s="31" t="n">
        <v>0</v>
      </c>
      <c r="N771" s="21" t="inlineStr"/>
      <c r="O771" s="21" t="inlineStr"/>
      <c r="P771" s="21" t="inlineStr"/>
      <c r="Q771" s="21" t="inlineStr"/>
      <c r="R771" s="40" t="n">
        <v>100</v>
      </c>
      <c r="S771" s="21" t="inlineStr">
        <is>
          <t>CP:R 376</t>
        </is>
      </c>
      <c r="T771" s="21" t="inlineStr">
        <is>
          <t>Price per Hour.</t>
        </is>
      </c>
    </row>
    <row r="772">
      <c r="A772" s="21" t="inlineStr">
        <is>
          <t>Pro Services (World Class)</t>
        </is>
      </c>
      <c r="B772" s="21" t="inlineStr">
        <is>
          <t>Услуги и жильё</t>
        </is>
      </c>
      <c r="C772" s="21" t="inlineStr">
        <is>
          <t>General</t>
        </is>
      </c>
      <c r="D772" s="21" t="inlineStr"/>
      <c r="E772" s="21" t="inlineStr"/>
      <c r="F772" s="31" t="n"/>
      <c r="G772" s="31" t="n"/>
      <c r="H772" s="31" t="n"/>
      <c r="I772" s="31" t="n"/>
      <c r="J772" s="31" t="n">
        <v>0</v>
      </c>
      <c r="K772" s="31" t="n">
        <v>0</v>
      </c>
      <c r="L772" s="31" t="n">
        <v>0</v>
      </c>
      <c r="M772" s="31" t="n">
        <v>0</v>
      </c>
      <c r="N772" s="21" t="inlineStr"/>
      <c r="O772" s="21" t="inlineStr"/>
      <c r="P772" s="21" t="inlineStr"/>
      <c r="Q772" s="21" t="inlineStr"/>
      <c r="R772" s="40" t="n">
        <v>5000</v>
      </c>
      <c r="S772" s="21" t="inlineStr">
        <is>
          <t>CP:R 376</t>
        </is>
      </c>
      <c r="T772" s="21" t="inlineStr">
        <is>
          <t>Price per Job.</t>
        </is>
      </c>
    </row>
    <row r="773">
      <c r="A773" s="21" t="inlineStr">
        <is>
          <t>Restaurant Meal (Fast Food)</t>
        </is>
      </c>
      <c r="B773" s="21" t="inlineStr">
        <is>
          <t>Услуги и жильё</t>
        </is>
      </c>
      <c r="C773" s="21" t="inlineStr">
        <is>
          <t>General</t>
        </is>
      </c>
      <c r="D773" s="21" t="inlineStr"/>
      <c r="E773" s="21" t="inlineStr"/>
      <c r="F773" s="31" t="n"/>
      <c r="G773" s="31" t="n"/>
      <c r="H773" s="31" t="n"/>
      <c r="I773" s="31" t="n"/>
      <c r="J773" s="31" t="n">
        <v>0</v>
      </c>
      <c r="K773" s="31" t="n">
        <v>0</v>
      </c>
      <c r="L773" s="31" t="n">
        <v>0</v>
      </c>
      <c r="M773" s="31" t="n">
        <v>0</v>
      </c>
      <c r="N773" s="21" t="inlineStr"/>
      <c r="O773" s="21" t="inlineStr"/>
      <c r="P773" s="21" t="inlineStr"/>
      <c r="Q773" s="21" t="inlineStr"/>
      <c r="R773" s="40" t="n">
        <v>10</v>
      </c>
      <c r="S773" s="21" t="inlineStr">
        <is>
          <t>CP:R 376</t>
        </is>
      </c>
      <c r="T773" s="21" t="inlineStr">
        <is>
          <t>Meal at Buck-A-Slice.</t>
        </is>
      </c>
    </row>
    <row r="774">
      <c r="A774" s="21" t="inlineStr">
        <is>
          <t>Restaurant Meal (Good)</t>
        </is>
      </c>
      <c r="B774" s="21" t="inlineStr">
        <is>
          <t>Услуги и жильё</t>
        </is>
      </c>
      <c r="C774" s="21" t="inlineStr">
        <is>
          <t>General</t>
        </is>
      </c>
      <c r="D774" s="21" t="inlineStr"/>
      <c r="E774" s="21" t="inlineStr"/>
      <c r="F774" s="31" t="n"/>
      <c r="G774" s="31" t="n"/>
      <c r="H774" s="31" t="n"/>
      <c r="I774" s="31" t="n"/>
      <c r="J774" s="31" t="n">
        <v>0</v>
      </c>
      <c r="K774" s="31" t="n">
        <v>0</v>
      </c>
      <c r="L774" s="31" t="n">
        <v>0</v>
      </c>
      <c r="M774" s="31" t="n">
        <v>0</v>
      </c>
      <c r="N774" s="21" t="inlineStr"/>
      <c r="O774" s="21" t="inlineStr"/>
      <c r="P774" s="21" t="inlineStr"/>
      <c r="Q774" s="21" t="inlineStr"/>
      <c r="R774" s="40" t="n">
        <v>20</v>
      </c>
      <c r="S774" s="21" t="inlineStr">
        <is>
          <t>CP:R 376</t>
        </is>
      </c>
      <c r="T774" s="21" t="inlineStr">
        <is>
          <t>Meal at Tom's Diner.</t>
        </is>
      </c>
    </row>
    <row r="775">
      <c r="A775" s="21" t="inlineStr">
        <is>
          <t>Restaurant Meal (Excellent)</t>
        </is>
      </c>
      <c r="B775" s="21" t="inlineStr">
        <is>
          <t>Услуги и жильё</t>
        </is>
      </c>
      <c r="C775" s="21" t="inlineStr">
        <is>
          <t>General</t>
        </is>
      </c>
      <c r="D775" s="21" t="inlineStr"/>
      <c r="E775" s="21" t="inlineStr"/>
      <c r="F775" s="31" t="n"/>
      <c r="G775" s="31" t="n"/>
      <c r="H775" s="31" t="n"/>
      <c r="I775" s="31" t="n"/>
      <c r="J775" s="31" t="n">
        <v>0</v>
      </c>
      <c r="K775" s="31" t="n">
        <v>0</v>
      </c>
      <c r="L775" s="31" t="n">
        <v>0</v>
      </c>
      <c r="M775" s="31" t="n">
        <v>0</v>
      </c>
      <c r="N775" s="21" t="inlineStr"/>
      <c r="O775" s="21" t="inlineStr"/>
      <c r="P775" s="21" t="inlineStr"/>
      <c r="Q775" s="21" t="inlineStr"/>
      <c r="R775" s="40" t="n">
        <v>50</v>
      </c>
      <c r="S775" s="21" t="inlineStr">
        <is>
          <t>CP:R 376</t>
        </is>
      </c>
      <c r="T775" s="21" t="inlineStr">
        <is>
          <t>Meal at Bleu.</t>
        </is>
      </c>
    </row>
    <row r="776">
      <c r="A776" s="21" t="inlineStr">
        <is>
          <t>Restaurant Meal (World Class)</t>
        </is>
      </c>
      <c r="B776" s="21" t="inlineStr">
        <is>
          <t>Услуги и жильё</t>
        </is>
      </c>
      <c r="C776" s="21" t="inlineStr">
        <is>
          <t>General</t>
        </is>
      </c>
      <c r="D776" s="21" t="inlineStr"/>
      <c r="E776" s="21" t="inlineStr"/>
      <c r="F776" s="31" t="n"/>
      <c r="G776" s="31" t="n"/>
      <c r="H776" s="31" t="n"/>
      <c r="I776" s="31" t="n"/>
      <c r="J776" s="31" t="n">
        <v>0</v>
      </c>
      <c r="K776" s="31" t="n">
        <v>0</v>
      </c>
      <c r="L776" s="31" t="n">
        <v>0</v>
      </c>
      <c r="M776" s="31" t="n">
        <v>0</v>
      </c>
      <c r="N776" s="21" t="inlineStr"/>
      <c r="O776" s="21" t="inlineStr"/>
      <c r="P776" s="21" t="inlineStr"/>
      <c r="Q776" s="21" t="inlineStr"/>
      <c r="R776" s="40" t="n">
        <v>500</v>
      </c>
      <c r="S776" s="21" t="inlineStr">
        <is>
          <t>CP:R 376</t>
        </is>
      </c>
      <c r="T776" s="21" t="inlineStr">
        <is>
          <t>Meal at Embers.</t>
        </is>
      </c>
    </row>
    <row r="777">
      <c r="A777" s="21" t="inlineStr">
        <is>
          <t>Taxi</t>
        </is>
      </c>
      <c r="B777" s="21" t="inlineStr">
        <is>
          <t>Услуги и жильё</t>
        </is>
      </c>
      <c r="C777" s="21" t="inlineStr">
        <is>
          <t>General</t>
        </is>
      </c>
      <c r="D777" s="21" t="inlineStr"/>
      <c r="E777" s="21" t="inlineStr"/>
      <c r="F777" s="31" t="n"/>
      <c r="G777" s="31" t="n"/>
      <c r="H777" s="31" t="n"/>
      <c r="I777" s="31" t="n"/>
      <c r="J777" s="31" t="n">
        <v>0</v>
      </c>
      <c r="K777" s="31" t="n">
        <v>0</v>
      </c>
      <c r="L777" s="31" t="n">
        <v>0</v>
      </c>
      <c r="M777" s="31" t="n">
        <v>0</v>
      </c>
      <c r="N777" s="21" t="inlineStr"/>
      <c r="O777" s="21" t="inlineStr"/>
      <c r="P777" s="21" t="inlineStr"/>
      <c r="Q777" s="21" t="inlineStr"/>
      <c r="R777" s="40" t="n">
        <v>20</v>
      </c>
      <c r="S777" s="21" t="inlineStr">
        <is>
          <t>CP:R 376</t>
        </is>
      </c>
      <c r="T777" s="21" t="inlineStr">
        <is>
          <t xml:space="preserve">Typical price for taxi ride between districts provided by Delamain Corp. Price for a ride from one end of the city to other might be several times bigger. Delamain also offers luxorius "Excelsior" package which includes </t>
        </is>
      </c>
    </row>
    <row r="778">
      <c r="A778" s="21" t="inlineStr">
        <is>
          <t>Video Game</t>
        </is>
      </c>
      <c r="B778" s="21" t="inlineStr">
        <is>
          <t>Услуги и жильё</t>
        </is>
      </c>
      <c r="C778" s="21" t="inlineStr">
        <is>
          <t>General</t>
        </is>
      </c>
      <c r="D778" s="21" t="inlineStr"/>
      <c r="E778" s="21" t="inlineStr"/>
      <c r="F778" s="31" t="n"/>
      <c r="G778" s="31" t="n"/>
      <c r="H778" s="31" t="n"/>
      <c r="I778" s="31" t="n"/>
      <c r="J778" s="31" t="n">
        <v>0</v>
      </c>
      <c r="K778" s="31" t="n">
        <v>0</v>
      </c>
      <c r="L778" s="31" t="n">
        <v>0</v>
      </c>
      <c r="M778" s="31" t="n">
        <v>0</v>
      </c>
      <c r="N778" s="21" t="inlineStr"/>
      <c r="O778" s="21" t="inlineStr"/>
      <c r="P778" s="21" t="inlineStr"/>
      <c r="Q778" s="21" t="inlineStr"/>
      <c r="R778" s="40" t="n">
        <v>50</v>
      </c>
      <c r="S778" s="21" t="inlineStr">
        <is>
          <t>CP:R 376</t>
        </is>
      </c>
      <c r="T778" s="21" t="inlineStr">
        <is>
          <t>Best games from Segotari.</t>
        </is>
      </c>
    </row>
    <row r="779">
      <c r="A779" s="21" t="inlineStr">
        <is>
          <t>Grenade Launcher</t>
        </is>
      </c>
      <c r="B779" s="21" t="inlineStr">
        <is>
          <t>Огнестрельное оружие</t>
        </is>
      </c>
      <c r="C779" s="21" t="inlineStr">
        <is>
          <t>Grenade Launcher</t>
        </is>
      </c>
      <c r="D779" s="21" t="inlineStr">
        <is>
          <t>Heavy Weapons</t>
        </is>
      </c>
      <c r="E779" s="21" t="inlineStr">
        <is>
          <t>6d6</t>
        </is>
      </c>
      <c r="F779" s="31" t="n">
        <v>1</v>
      </c>
      <c r="G779" s="31" t="n">
        <v>2</v>
      </c>
      <c r="H779" s="31" t="n"/>
      <c r="I779" s="31" t="n"/>
      <c r="J779" s="31" t="n">
        <v>0</v>
      </c>
      <c r="K779" s="31" t="n">
        <v>0</v>
      </c>
      <c r="L779" s="31" t="n">
        <v>0</v>
      </c>
      <c r="M779" s="31" t="n">
        <v>0</v>
      </c>
      <c r="N779" s="21" t="inlineStr"/>
      <c r="O779" s="21" t="n">
        <v>2</v>
      </c>
      <c r="P779" s="21" t="inlineStr">
        <is>
          <t>NO</t>
        </is>
      </c>
      <c r="Q779" s="21" t="inlineStr">
        <is>
          <t>Standard</t>
        </is>
      </c>
      <c r="R779" s="40" t="n">
        <v>500</v>
      </c>
      <c r="S779" s="21" t="inlineStr">
        <is>
          <t>CP:R 341</t>
        </is>
      </c>
      <c r="T779" s="21" t="inlineStr">
        <is>
          <t>Generic Grenade Launcher. Can be flavored as any that is not listed here.</t>
        </is>
      </c>
    </row>
    <row r="780">
      <c r="A780" s="21" t="inlineStr">
        <is>
          <t>Flare Gun</t>
        </is>
      </c>
      <c r="B780" s="21" t="inlineStr">
        <is>
          <t>Огнестрельное оружие</t>
        </is>
      </c>
      <c r="C780" s="21" t="inlineStr">
        <is>
          <t>Grenade Launcher</t>
        </is>
      </c>
      <c r="D780" s="21" t="inlineStr">
        <is>
          <t>Heavy Weapons</t>
        </is>
      </c>
      <c r="E780" s="21" t="inlineStr">
        <is>
          <t>6d6</t>
        </is>
      </c>
      <c r="F780" s="31" t="n">
        <v>1</v>
      </c>
      <c r="G780" s="31" t="n">
        <v>1</v>
      </c>
      <c r="H780" s="31" t="n"/>
      <c r="I780" s="31" t="n"/>
      <c r="J780" s="31" t="n">
        <v>0</v>
      </c>
      <c r="K780" s="31" t="n">
        <v>0</v>
      </c>
      <c r="L780" s="31" t="n">
        <v>0</v>
      </c>
      <c r="M780" s="31" t="n">
        <v>0</v>
      </c>
      <c r="N780" s="21" t="inlineStr"/>
      <c r="O780" s="21" t="n">
        <v>1</v>
      </c>
      <c r="P780" s="21" t="inlineStr">
        <is>
          <t>NO</t>
        </is>
      </c>
      <c r="Q780" s="21" t="inlineStr">
        <is>
          <t>Standard</t>
        </is>
      </c>
      <c r="R780" s="40" t="n">
        <v>100</v>
      </c>
      <c r="S780" s="21" t="inlineStr">
        <is>
          <t>DL:WG 3 · IR3 27</t>
        </is>
      </c>
      <c r="T780" s="21" t="inlineStr">
        <is>
          <t>A One Handed Exotic Grenade Launcher with a one shot capacity. Too bulky to be installed in Pop-up Cyberware. In addition to all Grenade Ammunition, the Flare Gun can fire road flares (see CP:R page 351) using the Grenad</t>
        </is>
      </c>
    </row>
    <row r="781">
      <c r="A781" s="21" t="inlineStr">
        <is>
          <t>GunMart Porta-Morta</t>
        </is>
      </c>
      <c r="B781" s="21" t="inlineStr">
        <is>
          <t>Огнестрельное оружие</t>
        </is>
      </c>
      <c r="C781" s="21" t="inlineStr">
        <is>
          <t>Grenade Launcher</t>
        </is>
      </c>
      <c r="D781" s="21" t="inlineStr">
        <is>
          <t>Heavy Weapons</t>
        </is>
      </c>
      <c r="E781" s="21" t="inlineStr">
        <is>
          <t>6d6</t>
        </is>
      </c>
      <c r="F781" s="31" t="n">
        <v>1</v>
      </c>
      <c r="G781" s="31" t="n">
        <v>6</v>
      </c>
      <c r="H781" s="31" t="n"/>
      <c r="I781" s="31" t="n"/>
      <c r="J781" s="31" t="n">
        <v>0</v>
      </c>
      <c r="K781" s="31" t="n">
        <v>0</v>
      </c>
      <c r="L781" s="31" t="n">
        <v>0</v>
      </c>
      <c r="M781" s="31" t="n">
        <v>0</v>
      </c>
      <c r="N781" s="21" t="inlineStr"/>
      <c r="O781" s="21" t="n">
        <v>1</v>
      </c>
      <c r="P781" s="21" t="inlineStr">
        <is>
          <t>NO</t>
        </is>
      </c>
      <c r="Q781" s="21" t="inlineStr">
        <is>
          <t>Poor</t>
        </is>
      </c>
      <c r="R781" s="40" t="n">
        <v>600</v>
      </c>
      <c r="S781" s="21" t="inlineStr">
        <is>
          <t>DL:TT 12 · IR5 46</t>
        </is>
      </c>
      <c r="T781" s="21" t="inlineStr">
        <is>
          <t>When the Porta-Morta failed to attract attention from Corporate and national military forces, GunMart released this monster of engineering onto the market for “home explosion enthusiasts to enjoy.” A Poor Quality Grenade</t>
        </is>
      </c>
    </row>
    <row r="782">
      <c r="A782" s="21" t="inlineStr">
        <is>
          <t>Cowboy U-56</t>
        </is>
      </c>
      <c r="B782" s="21" t="inlineStr">
        <is>
          <t>Огнестрельное оружие</t>
        </is>
      </c>
      <c r="C782" s="21" t="inlineStr">
        <is>
          <t>Grenade Launcher</t>
        </is>
      </c>
      <c r="D782" s="21" t="inlineStr">
        <is>
          <t>Heavy Weapons</t>
        </is>
      </c>
      <c r="E782" s="21" t="inlineStr">
        <is>
          <t>6d6</t>
        </is>
      </c>
      <c r="F782" s="31" t="n">
        <v>2</v>
      </c>
      <c r="G782" s="31" t="n">
        <v>4</v>
      </c>
      <c r="H782" s="31" t="n"/>
      <c r="I782" s="31" t="n"/>
      <c r="J782" s="31" t="n">
        <v>0</v>
      </c>
      <c r="K782" s="31" t="n">
        <v>0</v>
      </c>
      <c r="L782" s="31" t="n">
        <v>0</v>
      </c>
      <c r="M782" s="31" t="n">
        <v>0</v>
      </c>
      <c r="N782" s="21" t="inlineStr"/>
      <c r="O782" s="21" t="n">
        <v>2</v>
      </c>
      <c r="P782" s="21" t="inlineStr">
        <is>
          <t>NO</t>
        </is>
      </c>
      <c r="Q782" s="21" t="inlineStr">
        <is>
          <t>Standard</t>
        </is>
      </c>
      <c r="R782" s="40" t="n">
        <v>5000</v>
      </c>
      <c r="S782" s="21" t="inlineStr">
        <is>
          <t>CP:R 349</t>
        </is>
      </c>
      <c r="T782" s="21" t="inlineStr">
        <is>
          <t>"Cowboy" U-56 Grenade Launcher is a Grenade Launcher that can fire two grenades at a time and can use any type of grenade despite being an Exotic Weapon. It can only be used by a person with BODY 11 or if Mounted.</t>
        </is>
      </c>
    </row>
    <row r="783">
      <c r="A783" s="21" t="inlineStr">
        <is>
          <t>HD Stickybomb Launcher</t>
        </is>
      </c>
      <c r="B783" s="21" t="inlineStr">
        <is>
          <t>Огнестрельное оружие</t>
        </is>
      </c>
      <c r="C783" s="21" t="inlineStr">
        <is>
          <t>Grenade Launcher</t>
        </is>
      </c>
      <c r="D783" s="21" t="inlineStr">
        <is>
          <t>Heavy Weapons</t>
        </is>
      </c>
      <c r="E783" s="21" t="inlineStr">
        <is>
          <t>Mini C9</t>
        </is>
      </c>
      <c r="F783" s="31" t="n">
        <v>2</v>
      </c>
      <c r="G783" s="31" t="n">
        <v>8</v>
      </c>
      <c r="H783" s="31" t="n"/>
      <c r="I783" s="31" t="n"/>
      <c r="J783" s="31" t="n">
        <v>0</v>
      </c>
      <c r="K783" s="31" t="n">
        <v>0</v>
      </c>
      <c r="L783" s="31" t="n">
        <v>0</v>
      </c>
      <c r="M783" s="31" t="n">
        <v>0</v>
      </c>
      <c r="N783" s="21" t="inlineStr"/>
      <c r="O783" s="21" t="n">
        <v>2</v>
      </c>
      <c r="P783" s="21" t="inlineStr">
        <is>
          <t>NO</t>
        </is>
      </c>
      <c r="Q783" s="21" t="inlineStr">
        <is>
          <t>Standard</t>
        </is>
      </c>
      <c r="R783" s="40" t="n">
        <v>1300</v>
      </c>
      <c r="S783" s="21" t="inlineStr">
        <is>
          <t>IR5 122</t>
        </is>
      </c>
      <c r="T783" s="21" t="inlineStr">
        <is>
          <t>Grenade Launcher that fires Mini C9 Charges. Charges fired by this weapon are "planted" as normal upon hitting something but can only be set to be remotely detonated. Charges take 30 seconds (10 rounds) to become active.</t>
        </is>
      </c>
    </row>
    <row r="784">
      <c r="A784" s="21" t="inlineStr">
        <is>
          <t>Militech Mini-Grenade</t>
        </is>
      </c>
      <c r="B784" s="21" t="inlineStr">
        <is>
          <t>Огнестрельное оружие</t>
        </is>
      </c>
      <c r="C784" s="21" t="inlineStr">
        <is>
          <t>Grenade Launcher</t>
        </is>
      </c>
      <c r="D784" s="21" t="inlineStr">
        <is>
          <t>Heavy Weapons</t>
        </is>
      </c>
      <c r="E784" s="21" t="inlineStr">
        <is>
          <t>6d6</t>
        </is>
      </c>
      <c r="F784" s="31" t="n">
        <v>1</v>
      </c>
      <c r="G784" s="31" t="n">
        <v>2</v>
      </c>
      <c r="H784" s="31" t="n"/>
      <c r="I784" s="31" t="n"/>
      <c r="J784" s="31" t="n">
        <v>0</v>
      </c>
      <c r="K784" s="31" t="n">
        <v>0</v>
      </c>
      <c r="L784" s="31" t="n">
        <v>0</v>
      </c>
      <c r="M784" s="31" t="n">
        <v>0</v>
      </c>
      <c r="N784" s="21" t="inlineStr"/>
      <c r="O784" s="21" t="n">
        <v>2</v>
      </c>
      <c r="P784" s="21" t="inlineStr">
        <is>
          <t>NO</t>
        </is>
      </c>
      <c r="Q784" s="21" t="inlineStr">
        <is>
          <t>Standard</t>
        </is>
      </c>
      <c r="R784" s="40" t="n">
        <v>500</v>
      </c>
      <c r="S784" s="21" t="inlineStr">
        <is>
          <t>CP:R 342 · DL:TT 12 · IR5 46</t>
        </is>
      </c>
      <c r="T784" s="21" t="inlineStr">
        <is>
          <t>Mini-Grenade became a standard equipment for Militech during the Fourth Corporate War, which meant that many of these weapons found their way into the hands of scavengers during and after the conflict.</t>
        </is>
      </c>
    </row>
    <row r="785">
      <c r="A785" s="21" t="inlineStr">
        <is>
          <t>Pursuit Security Tearjerker</t>
        </is>
      </c>
      <c r="B785" s="21" t="inlineStr">
        <is>
          <t>Огнестрельное оружие</t>
        </is>
      </c>
      <c r="C785" s="21" t="inlineStr">
        <is>
          <t>Grenade Launcher</t>
        </is>
      </c>
      <c r="D785" s="21" t="inlineStr">
        <is>
          <t>Heavy Weapons</t>
        </is>
      </c>
      <c r="E785" s="21" t="inlineStr">
        <is>
          <t>Smoke / Teargas</t>
        </is>
      </c>
      <c r="F785" s="31" t="n">
        <v>1</v>
      </c>
      <c r="G785" s="31" t="n">
        <v>2</v>
      </c>
      <c r="H785" s="31" t="n"/>
      <c r="I785" s="31" t="n"/>
      <c r="J785" s="31" t="n">
        <v>0</v>
      </c>
      <c r="K785" s="31" t="n">
        <v>0</v>
      </c>
      <c r="L785" s="31" t="n">
        <v>0</v>
      </c>
      <c r="M785" s="31" t="n">
        <v>0</v>
      </c>
      <c r="N785" s="21" t="inlineStr"/>
      <c r="O785" s="21" t="n">
        <v>2</v>
      </c>
      <c r="P785" s="21" t="inlineStr">
        <is>
          <t>NO</t>
        </is>
      </c>
      <c r="Q785" s="21" t="inlineStr">
        <is>
          <t>Standard</t>
        </is>
      </c>
      <c r="R785" s="40" t="n">
        <v>500</v>
      </c>
      <c r="S785" s="21" t="inlineStr">
        <is>
          <t>DL:WG 4 · DGD 145 · IR3 28</t>
        </is>
      </c>
      <c r="T785" s="21" t="inlineStr">
        <is>
          <t>TearJerker is a grenade launcher that can only launch Smoke Grenades and Teargas Grenades.</t>
        </is>
      </c>
    </row>
    <row r="786">
      <c r="A786" s="21" t="inlineStr">
        <is>
          <t>Sternmeyer M-04</t>
        </is>
      </c>
      <c r="B786" s="21" t="inlineStr">
        <is>
          <t>Огнестрельное оружие</t>
        </is>
      </c>
      <c r="C786" s="21" t="inlineStr">
        <is>
          <t>Grenade Launcher</t>
        </is>
      </c>
      <c r="D786" s="21" t="inlineStr">
        <is>
          <t>Shoulder Arms / Heavy Weapons</t>
        </is>
      </c>
      <c r="E786" s="21" t="inlineStr">
        <is>
          <t>5d6/6</t>
        </is>
      </c>
      <c r="F786" s="31" t="n">
        <v>1</v>
      </c>
      <c r="G786" s="31" t="inlineStr">
        <is>
          <t>20 / 2</t>
        </is>
      </c>
      <c r="H786" s="31" t="n"/>
      <c r="I786" s="31" t="n"/>
      <c r="J786" s="31" t="n">
        <v>0</v>
      </c>
      <c r="K786" s="31" t="n">
        <v>0</v>
      </c>
      <c r="L786" s="31" t="n">
        <v>0</v>
      </c>
      <c r="M786" s="31" t="n">
        <v>0</v>
      </c>
      <c r="N786" s="21" t="inlineStr"/>
      <c r="O786" s="21" t="n">
        <v>2</v>
      </c>
      <c r="P786" s="21" t="inlineStr">
        <is>
          <t>NO</t>
        </is>
      </c>
      <c r="Q786" s="21" t="inlineStr">
        <is>
          <t>Poor</t>
        </is>
      </c>
      <c r="R786" s="40" t="n">
        <v>500</v>
      </c>
      <c r="S786" s="21" t="inlineStr">
        <is>
          <t>BC 119</t>
        </is>
      </c>
      <c r="T786" s="21" t="inlineStr">
        <is>
          <t>Sternmeyer M-04 Variable Assault is a Poor Quality Exotic Assault Rifle and Grenade Launcher combination. The Assault Rifle has a 20 round magazine while the Grenade Launcher has a 2 round magazine and both modes must be</t>
        </is>
      </c>
    </row>
    <row r="787">
      <c r="A787" s="21" t="inlineStr">
        <is>
          <t>Towa Type-G</t>
        </is>
      </c>
      <c r="B787" s="21" t="inlineStr">
        <is>
          <t>Огнестрельное оружие</t>
        </is>
      </c>
      <c r="C787" s="21" t="inlineStr">
        <is>
          <t>Grenade Launcher</t>
        </is>
      </c>
      <c r="D787" s="21" t="inlineStr">
        <is>
          <t>Heavy Weapons</t>
        </is>
      </c>
      <c r="E787" s="21" t="inlineStr">
        <is>
          <t>6d6</t>
        </is>
      </c>
      <c r="F787" s="31" t="n">
        <v>1</v>
      </c>
      <c r="G787" s="31" t="n">
        <v>2</v>
      </c>
      <c r="H787" s="31" t="n"/>
      <c r="I787" s="31" t="n"/>
      <c r="J787" s="31" t="n">
        <v>0</v>
      </c>
      <c r="K787" s="31" t="n">
        <v>0</v>
      </c>
      <c r="L787" s="31" t="n">
        <v>0</v>
      </c>
      <c r="M787" s="31" t="n">
        <v>0</v>
      </c>
      <c r="N787" s="21" t="inlineStr"/>
      <c r="O787" s="21" t="n">
        <v>2</v>
      </c>
      <c r="P787" s="21" t="inlineStr">
        <is>
          <t>NO</t>
        </is>
      </c>
      <c r="Q787" s="21" t="inlineStr">
        <is>
          <t>Poor</t>
        </is>
      </c>
      <c r="R787" s="40" t="n">
        <v>100</v>
      </c>
      <c r="S787" s="21" t="inlineStr">
        <is>
          <t>CP:R 342 · DL:TT 12 · IR5 46</t>
        </is>
      </c>
      <c r="T787" s="21" t="inlineStr">
        <is>
          <t>Poor Quality Grenade Launcher. Due to its quality, it sometimes jams.</t>
        </is>
      </c>
    </row>
    <row r="788">
      <c r="A788" s="21" t="inlineStr">
        <is>
          <t>Towa Type-G*2</t>
        </is>
      </c>
      <c r="B788" s="21" t="inlineStr">
        <is>
          <t>Огнестрельное оружие</t>
        </is>
      </c>
      <c r="C788" s="21" t="inlineStr">
        <is>
          <t>Grenade Launcher</t>
        </is>
      </c>
      <c r="D788" s="21" t="inlineStr">
        <is>
          <t>Heavy Weapons</t>
        </is>
      </c>
      <c r="E788" s="21" t="inlineStr">
        <is>
          <t>6d6</t>
        </is>
      </c>
      <c r="F788" s="31" t="n">
        <v>1</v>
      </c>
      <c r="G788" s="31" t="n">
        <v>2</v>
      </c>
      <c r="H788" s="31" t="n"/>
      <c r="I788" s="31" t="n"/>
      <c r="J788" s="31" t="n">
        <v>0</v>
      </c>
      <c r="K788" s="31" t="n">
        <v>0</v>
      </c>
      <c r="L788" s="31" t="n">
        <v>0</v>
      </c>
      <c r="M788" s="31" t="n">
        <v>0</v>
      </c>
      <c r="N788" s="21" t="inlineStr"/>
      <c r="O788" s="21" t="n">
        <v>2</v>
      </c>
      <c r="P788" s="21" t="inlineStr">
        <is>
          <t>NO</t>
        </is>
      </c>
      <c r="Q788" s="21" t="inlineStr">
        <is>
          <t>Standard</t>
        </is>
      </c>
      <c r="R788" s="40" t="n">
        <v>500</v>
      </c>
      <c r="S788" s="21" t="inlineStr">
        <is>
          <t>DL:TT 12 · IR5 46</t>
        </is>
      </c>
      <c r="T788" s="21" t="inlineStr">
        <is>
          <t>Standard Quality Grenade Launcher which can load two different types of ammunition</t>
        </is>
      </c>
    </row>
    <row r="789">
      <c r="A789" s="21" t="inlineStr">
        <is>
          <t>Tsunami Arms Type-18</t>
        </is>
      </c>
      <c r="B789" s="21" t="inlineStr">
        <is>
          <t>Огнестрельное оружие</t>
        </is>
      </c>
      <c r="C789" s="21" t="inlineStr">
        <is>
          <t>Grenade Launcher</t>
        </is>
      </c>
      <c r="D789" s="21" t="inlineStr">
        <is>
          <t>Heavy Weapons</t>
        </is>
      </c>
      <c r="E789" s="21" t="inlineStr">
        <is>
          <t>6d6</t>
        </is>
      </c>
      <c r="F789" s="31" t="n">
        <v>1</v>
      </c>
      <c r="G789" s="31" t="n">
        <v>2</v>
      </c>
      <c r="H789" s="31" t="n"/>
      <c r="I789" s="31" t="n"/>
      <c r="J789" s="31" t="n">
        <v>0</v>
      </c>
      <c r="K789" s="31" t="n">
        <v>0</v>
      </c>
      <c r="L789" s="31" t="n">
        <v>0</v>
      </c>
      <c r="M789" s="31" t="n">
        <v>0</v>
      </c>
      <c r="N789" s="21" t="inlineStr"/>
      <c r="O789" s="21" t="n">
        <v>2</v>
      </c>
      <c r="P789" s="21" t="inlineStr">
        <is>
          <t>NO</t>
        </is>
      </c>
      <c r="Q789" s="21" t="inlineStr">
        <is>
          <t>Excellent</t>
        </is>
      </c>
      <c r="R789" s="40" t="n">
        <v>1000</v>
      </c>
      <c r="S789" s="21" t="inlineStr">
        <is>
          <t>CP:R 342 · DL:TT 13 · IR5 47</t>
        </is>
      </c>
      <c r="T789" s="21" t="inlineStr">
        <is>
          <t>Excellent Quality Grenade Launcher. It was designed for the Japanese military and employs gyro-stabilizers for a superior launch vector</t>
        </is>
      </c>
    </row>
    <row r="790">
      <c r="A790" s="21" t="inlineStr">
        <is>
          <t>Tsunami Arms Type-18-S</t>
        </is>
      </c>
      <c r="B790" s="21" t="inlineStr">
        <is>
          <t>Огнестрельное оружие</t>
        </is>
      </c>
      <c r="C790" s="21" t="inlineStr">
        <is>
          <t>Grenade Launcher</t>
        </is>
      </c>
      <c r="D790" s="21" t="inlineStr">
        <is>
          <t>Heavy Weapons</t>
        </is>
      </c>
      <c r="E790" s="21" t="inlineStr">
        <is>
          <t>6d6</t>
        </is>
      </c>
      <c r="F790" s="31" t="n">
        <v>1</v>
      </c>
      <c r="G790" s="31" t="n">
        <v>2</v>
      </c>
      <c r="H790" s="31" t="n"/>
      <c r="I790" s="31" t="n"/>
      <c r="J790" s="31" t="n">
        <v>0</v>
      </c>
      <c r="K790" s="31" t="n">
        <v>0</v>
      </c>
      <c r="L790" s="31" t="n">
        <v>0</v>
      </c>
      <c r="M790" s="31" t="n">
        <v>0</v>
      </c>
      <c r="N790" s="21" t="inlineStr"/>
      <c r="O790" s="21" t="n">
        <v>2</v>
      </c>
      <c r="P790" s="21" t="inlineStr">
        <is>
          <t>NO</t>
        </is>
      </c>
      <c r="Q790" s="21" t="inlineStr">
        <is>
          <t>Excellent</t>
        </is>
      </c>
      <c r="R790" s="40" t="n">
        <v>1500</v>
      </c>
      <c r="S790" s="21" t="inlineStr">
        <is>
          <t>DL:TT 13 · IR5 47 · IR5 143</t>
        </is>
      </c>
      <c r="T790" s="21" t="inlineStr">
        <is>
          <t>Excellent quality Grenade Launcher which comes preinstalled with a Smartgun Link.</t>
        </is>
      </c>
    </row>
    <row r="791">
      <c r="A791" s="21" t="inlineStr">
        <is>
          <t>Heavy Melee Weapon</t>
        </is>
      </c>
      <c r="B791" s="21" t="inlineStr">
        <is>
          <t>Ближний бой</t>
        </is>
      </c>
      <c r="C791" s="21" t="inlineStr">
        <is>
          <t>Heavy Melee Weapon</t>
        </is>
      </c>
      <c r="D791" s="21" t="inlineStr">
        <is>
          <t>Melee Weapon</t>
        </is>
      </c>
      <c r="E791" s="21" t="inlineStr">
        <is>
          <t>3d6</t>
        </is>
      </c>
      <c r="F791" s="31" t="n">
        <v>2</v>
      </c>
      <c r="G791" s="31" t="n"/>
      <c r="H791" s="31" t="n"/>
      <c r="I791" s="31" t="n"/>
      <c r="J791" s="31" t="n">
        <v>0</v>
      </c>
      <c r="K791" s="31" t="n">
        <v>0</v>
      </c>
      <c r="L791" s="31" t="n">
        <v>0</v>
      </c>
      <c r="M791" s="31" t="n">
        <v>0</v>
      </c>
      <c r="N791" s="21" t="inlineStr"/>
      <c r="O791" s="21" t="inlineStr"/>
      <c r="P791" s="21" t="inlineStr">
        <is>
          <t>NO</t>
        </is>
      </c>
      <c r="Q791" s="21" t="inlineStr"/>
      <c r="R791" s="40" t="n">
        <v>100</v>
      </c>
      <c r="S791" s="21" t="inlineStr">
        <is>
          <t>CP:R 340</t>
        </is>
      </c>
      <c r="T791" s="21" t="inlineStr">
        <is>
          <t>Generic Heavy Melee Weapon. Can be flavored as any that is not listed here. Example: Lead Pipe, Sword, Spiked Bat</t>
        </is>
      </c>
    </row>
    <row r="792">
      <c r="A792" s="21" t="inlineStr">
        <is>
          <t>Kendachi Mono-Guard</t>
        </is>
      </c>
      <c r="B792" s="21" t="inlineStr">
        <is>
          <t>Ближний бой</t>
        </is>
      </c>
      <c r="C792" s="21" t="inlineStr">
        <is>
          <t>Heavy Melee Weapon</t>
        </is>
      </c>
      <c r="D792" s="21" t="inlineStr">
        <is>
          <t>Melee Weapon</t>
        </is>
      </c>
      <c r="E792" s="21" t="inlineStr">
        <is>
          <t>3d6</t>
        </is>
      </c>
      <c r="F792" s="31" t="n">
        <v>2</v>
      </c>
      <c r="G792" s="31" t="n"/>
      <c r="H792" s="31" t="n"/>
      <c r="I792" s="31" t="n"/>
      <c r="J792" s="31" t="n">
        <v>0</v>
      </c>
      <c r="K792" s="31" t="n">
        <v>0</v>
      </c>
      <c r="L792" s="31" t="n">
        <v>0</v>
      </c>
      <c r="M792" s="31" t="n">
        <v>0</v>
      </c>
      <c r="N792" s="21" t="inlineStr"/>
      <c r="O792" s="21" t="inlineStr"/>
      <c r="P792" s="21" t="inlineStr">
        <is>
          <t>YES</t>
        </is>
      </c>
      <c r="Q792" s="21" t="inlineStr"/>
      <c r="R792" s="40" t="n">
        <v>1000</v>
      </c>
      <c r="S792" s="21" t="inlineStr">
        <is>
          <t>BC 96</t>
        </is>
      </c>
      <c r="T792" s="21" t="inlineStr">
        <is>
          <t>The Kendachi Mono-Guard is a coin-sized spindle of incredibly sharp monowire that can launch and retract at fast speeds. When it causes the Foreign Object Critical Injury, it also causes an additional Critical Injury</t>
        </is>
      </c>
    </row>
    <row r="793">
      <c r="A793" s="21" t="inlineStr">
        <is>
          <t>Kendachi Mono-Wakizashi</t>
        </is>
      </c>
      <c r="B793" s="21" t="inlineStr">
        <is>
          <t>Ближний бой</t>
        </is>
      </c>
      <c r="C793" s="21" t="inlineStr">
        <is>
          <t>Heavy Melee Weapon</t>
        </is>
      </c>
      <c r="D793" s="21" t="inlineStr">
        <is>
          <t>Melee Weapon</t>
        </is>
      </c>
      <c r="E793" s="21" t="inlineStr">
        <is>
          <t>3d6</t>
        </is>
      </c>
      <c r="F793" s="31" t="n">
        <v>2</v>
      </c>
      <c r="G793" s="31" t="n"/>
      <c r="H793" s="31" t="n"/>
      <c r="I793" s="31" t="n"/>
      <c r="J793" s="31" t="n">
        <v>0</v>
      </c>
      <c r="K793" s="31" t="n">
        <v>0</v>
      </c>
      <c r="L793" s="31" t="n">
        <v>0</v>
      </c>
      <c r="M793" s="31" t="n">
        <v>0</v>
      </c>
      <c r="N793" s="21" t="inlineStr"/>
      <c r="O793" s="21" t="inlineStr"/>
      <c r="P793" s="21" t="inlineStr">
        <is>
          <t>NO</t>
        </is>
      </c>
      <c r="Q793" s="21" t="inlineStr"/>
      <c r="R793" s="40" t="n">
        <v>1000</v>
      </c>
      <c r="S793" s="21" t="inlineStr">
        <is>
          <t>BC 93</t>
        </is>
      </c>
      <c r="T793" s="21" t="inlineStr">
        <is>
          <t>The Mono-Wakizashi is a weapon that with the correct biometric key ignores all armor below SP7. Without the right key, this property is non-functional.</t>
        </is>
      </c>
    </row>
    <row r="794">
      <c r="A794" s="21" t="inlineStr">
        <is>
          <t>MT Tactical Umbrella</t>
        </is>
      </c>
      <c r="B794" s="21" t="inlineStr">
        <is>
          <t>Ближний бой</t>
        </is>
      </c>
      <c r="C794" s="21" t="inlineStr">
        <is>
          <t>Heavy Melee Weapon</t>
        </is>
      </c>
      <c r="D794" s="21" t="inlineStr">
        <is>
          <t>Melee Weapon</t>
        </is>
      </c>
      <c r="E794" s="21" t="inlineStr">
        <is>
          <t>3d6</t>
        </is>
      </c>
      <c r="F794" s="31" t="n">
        <v>2</v>
      </c>
      <c r="G794" s="31" t="n"/>
      <c r="H794" s="31" t="n"/>
      <c r="I794" s="31" t="n"/>
      <c r="J794" s="31" t="n">
        <v>0</v>
      </c>
      <c r="K794" s="31" t="n">
        <v>0</v>
      </c>
      <c r="L794" s="31" t="n">
        <v>0</v>
      </c>
      <c r="M794" s="31" t="n">
        <v>0</v>
      </c>
      <c r="N794" s="21" t="inlineStr"/>
      <c r="O794" s="21" t="inlineStr"/>
      <c r="P794" s="21" t="inlineStr">
        <is>
          <t>NO</t>
        </is>
      </c>
      <c r="Q794" s="21" t="inlineStr"/>
      <c r="R794" s="40" t="n">
        <v>1000</v>
      </c>
      <c r="S794" s="21" t="inlineStr">
        <is>
          <t>DL: We 6 · DGD 144 · IR2 20</t>
        </is>
      </c>
      <c r="T794" s="21" t="inlineStr">
        <is>
          <t>The Militech Tactical Umbrella is an Umbrella that is also a Heavy Melee Weapon and a Poor Quality Heavy Pistol.</t>
        </is>
      </c>
    </row>
    <row r="795">
      <c r="A795" s="21" t="inlineStr">
        <is>
          <t>Ranger Combat Boomerang</t>
        </is>
      </c>
      <c r="B795" s="21" t="inlineStr">
        <is>
          <t>Ближний бой</t>
        </is>
      </c>
      <c r="C795" s="21" t="inlineStr">
        <is>
          <t>Heavy Melee Weapon</t>
        </is>
      </c>
      <c r="D795" s="21" t="inlineStr">
        <is>
          <t>Melee Weapon</t>
        </is>
      </c>
      <c r="E795" s="21" t="inlineStr">
        <is>
          <t>3d6</t>
        </is>
      </c>
      <c r="F795" s="31" t="n">
        <v>2</v>
      </c>
      <c r="G795" s="31" t="n"/>
      <c r="H795" s="31" t="n"/>
      <c r="I795" s="31" t="n"/>
      <c r="J795" s="31" t="n">
        <v>0</v>
      </c>
      <c r="K795" s="31" t="n">
        <v>0</v>
      </c>
      <c r="L795" s="31" t="n">
        <v>0</v>
      </c>
      <c r="M795" s="31" t="n">
        <v>0</v>
      </c>
      <c r="N795" s="21" t="inlineStr"/>
      <c r="O795" s="21" t="inlineStr"/>
      <c r="P795" s="21" t="inlineStr">
        <is>
          <t>NO</t>
        </is>
      </c>
      <c r="Q795" s="21" t="inlineStr"/>
      <c r="R795" s="40" t="n">
        <v>1000</v>
      </c>
      <c r="S795" s="21" t="inlineStr">
        <is>
          <t>BC 100</t>
        </is>
      </c>
      <c r="T795" s="21" t="inlineStr">
        <is>
          <t>Marketed toward mountain troops and recon operators, this deadly boomerang is not only razor sharp but also possesses a unique guidance system. The thrower simply locks onto a target using Targeting Scope cyberware, give</t>
        </is>
      </c>
    </row>
    <row r="796">
      <c r="A796" s="21" t="inlineStr">
        <is>
          <t>Sword of Arvish</t>
        </is>
      </c>
      <c r="B796" s="21" t="inlineStr">
        <is>
          <t>Ближний бой</t>
        </is>
      </c>
      <c r="C796" s="21" t="inlineStr">
        <is>
          <t>Heavy Melee Weapon</t>
        </is>
      </c>
      <c r="D796" s="21" t="inlineStr">
        <is>
          <t>Melee Weapon</t>
        </is>
      </c>
      <c r="E796" s="21" t="inlineStr">
        <is>
          <t>3d6</t>
        </is>
      </c>
      <c r="F796" s="31" t="n">
        <v>2</v>
      </c>
      <c r="G796" s="31" t="n"/>
      <c r="H796" s="31" t="n"/>
      <c r="I796" s="31" t="n"/>
      <c r="J796" s="31" t="n">
        <v>0</v>
      </c>
      <c r="K796" s="31" t="n">
        <v>0</v>
      </c>
      <c r="L796" s="31" t="n">
        <v>0</v>
      </c>
      <c r="M796" s="31" t="n">
        <v>0</v>
      </c>
      <c r="N796" s="21" t="inlineStr"/>
      <c r="O796" s="21" t="inlineStr"/>
      <c r="P796" s="21" t="inlineStr">
        <is>
          <t>NO</t>
        </is>
      </c>
      <c r="Q796" s="21" t="inlineStr"/>
      <c r="R796" s="40" t="n">
        <v>50</v>
      </c>
      <c r="S796" s="21" t="inlineStr">
        <is>
          <t>DL:ElfTCG 9 · IR3 73</t>
        </is>
      </c>
      <c r="T796" s="21" t="inlineStr">
        <is>
          <t>Online sword from the Elflines Online game, previously owned by the swords namesake Arvish the Hero. This is the golden idol of any Elflines fan, this legendary sword is what every fan wants</t>
        </is>
      </c>
    </row>
    <row r="797">
      <c r="A797" s="21" t="inlineStr">
        <is>
          <t>Utility Tomahawk</t>
        </is>
      </c>
      <c r="B797" s="21" t="inlineStr">
        <is>
          <t>Ближний бой</t>
        </is>
      </c>
      <c r="C797" s="21" t="inlineStr">
        <is>
          <t>Heavy Melee Weapon</t>
        </is>
      </c>
      <c r="D797" s="21" t="inlineStr">
        <is>
          <t>Melee Weapon</t>
        </is>
      </c>
      <c r="E797" s="21" t="inlineStr">
        <is>
          <t>3d6</t>
        </is>
      </c>
      <c r="F797" s="31" t="n">
        <v>46024</v>
      </c>
      <c r="G797" s="31" t="n"/>
      <c r="H797" s="31" t="n"/>
      <c r="I797" s="31" t="n"/>
      <c r="J797" s="31" t="n">
        <v>0</v>
      </c>
      <c r="K797" s="31" t="n">
        <v>0</v>
      </c>
      <c r="L797" s="31" t="n">
        <v>0</v>
      </c>
      <c r="M797" s="31" t="n">
        <v>0</v>
      </c>
      <c r="N797" s="21" t="inlineStr"/>
      <c r="O797" s="21" t="inlineStr"/>
      <c r="P797" s="21" t="inlineStr">
        <is>
          <t>NO</t>
        </is>
      </c>
      <c r="Q797" s="21" t="inlineStr"/>
      <c r="R797" s="40" t="n">
        <v>100</v>
      </c>
      <c r="S797" s="21" t="inlineStr">
        <is>
          <t>BC 101</t>
        </is>
      </c>
      <c r="T797" s="21" t="inlineStr">
        <is>
          <t>The Utility Tomahawk is a fold-out multitool which can be used as a climbing pick, machete, or throwing axe, and is popular with first responders. Unlike other Melee Weapons, it continues to halve SP when thrown and coun</t>
        </is>
      </c>
    </row>
    <row r="798">
      <c r="A798" s="21" t="inlineStr">
        <is>
          <t>Heavy Pistol</t>
        </is>
      </c>
      <c r="B798" s="21" t="inlineStr">
        <is>
          <t>Огнестрельное оружие</t>
        </is>
      </c>
      <c r="C798" s="21" t="inlineStr">
        <is>
          <t>Heavy Pistol</t>
        </is>
      </c>
      <c r="D798" s="21" t="inlineStr">
        <is>
          <t>Handgun</t>
        </is>
      </c>
      <c r="E798" s="21" t="inlineStr">
        <is>
          <t>3d6</t>
        </is>
      </c>
      <c r="F798" s="31" t="n">
        <v>2</v>
      </c>
      <c r="G798" s="31" t="n">
        <v>8</v>
      </c>
      <c r="H798" s="31" t="n"/>
      <c r="I798" s="31" t="n"/>
      <c r="J798" s="31" t="n">
        <v>0</v>
      </c>
      <c r="K798" s="31" t="n">
        <v>0</v>
      </c>
      <c r="L798" s="31" t="n">
        <v>0</v>
      </c>
      <c r="M798" s="31" t="n">
        <v>0</v>
      </c>
      <c r="N798" s="21" t="inlineStr"/>
      <c r="O798" s="21" t="n">
        <v>1</v>
      </c>
      <c r="P798" s="21" t="inlineStr">
        <is>
          <t>YES</t>
        </is>
      </c>
      <c r="Q798" s="21" t="inlineStr">
        <is>
          <t>Standard</t>
        </is>
      </c>
      <c r="R798" s="40" t="n">
        <v>100</v>
      </c>
      <c r="S798" s="21" t="inlineStr">
        <is>
          <t>CP:R 341</t>
        </is>
      </c>
      <c r="T798" s="21" t="inlineStr">
        <is>
          <t>Generic Heavy Pistol. Can be flavored as any that is not listed here.</t>
        </is>
      </c>
    </row>
    <row r="799">
      <c r="A799" s="21" t="inlineStr">
        <is>
          <t>Con Arms Unity</t>
        </is>
      </c>
      <c r="B799" s="21" t="inlineStr">
        <is>
          <t>Огнестрельное оружие</t>
        </is>
      </c>
      <c r="C799" s="21" t="inlineStr">
        <is>
          <t>Heavy Pistol</t>
        </is>
      </c>
      <c r="D799" s="21" t="inlineStr">
        <is>
          <t>Handgun</t>
        </is>
      </c>
      <c r="E799" s="21" t="inlineStr">
        <is>
          <t>3d6/4</t>
        </is>
      </c>
      <c r="F799" s="31" t="n">
        <v>2</v>
      </c>
      <c r="G799" s="31" t="n">
        <v>12</v>
      </c>
      <c r="H799" s="31" t="n"/>
      <c r="I799" s="31" t="n"/>
      <c r="J799" s="31" t="n">
        <v>0</v>
      </c>
      <c r="K799" s="31" t="n">
        <v>0</v>
      </c>
      <c r="L799" s="31" t="n">
        <v>0</v>
      </c>
      <c r="M799" s="31" t="n">
        <v>0</v>
      </c>
      <c r="N799" s="21" t="inlineStr"/>
      <c r="O799" s="21" t="n">
        <v>1</v>
      </c>
      <c r="P799" s="21" t="inlineStr">
        <is>
          <t>YES</t>
        </is>
      </c>
      <c r="Q799" s="21" t="inlineStr">
        <is>
          <t>Standard</t>
        </is>
      </c>
      <c r="R799" s="40" t="n">
        <v>500</v>
      </c>
      <c r="S799" s="21" t="inlineStr">
        <is>
          <t>CEMK 32</t>
        </is>
      </c>
      <c r="T799" s="21" t="inlineStr">
        <is>
          <t xml:space="preserve">This universal, easily attainable pistol designed by Constitutional Arms has resolved countless disputes all across Night City. It only takes one well-placed shot to win an argument. Forever. An Exotic Heavy Pistol with </t>
        </is>
      </c>
    </row>
    <row r="800">
      <c r="A800" s="21" t="inlineStr">
        <is>
          <t>Dai Lung Magnum</t>
        </is>
      </c>
      <c r="B800" s="21" t="inlineStr">
        <is>
          <t>Огнестрельное оружие</t>
        </is>
      </c>
      <c r="C800" s="21" t="inlineStr">
        <is>
          <t>Heavy Pistol</t>
        </is>
      </c>
      <c r="D800" s="21" t="inlineStr">
        <is>
          <t>Handgun</t>
        </is>
      </c>
      <c r="E800" s="21" t="inlineStr">
        <is>
          <t>3d6</t>
        </is>
      </c>
      <c r="F800" s="31" t="n">
        <v>2</v>
      </c>
      <c r="G800" s="31" t="n">
        <v>8</v>
      </c>
      <c r="H800" s="31" t="n"/>
      <c r="I800" s="31" t="n"/>
      <c r="J800" s="31" t="n">
        <v>0</v>
      </c>
      <c r="K800" s="31" t="n">
        <v>0</v>
      </c>
      <c r="L800" s="31" t="n">
        <v>0</v>
      </c>
      <c r="M800" s="31" t="n">
        <v>0</v>
      </c>
      <c r="N800" s="21" t="inlineStr"/>
      <c r="O800" s="21" t="n">
        <v>1</v>
      </c>
      <c r="P800" s="21" t="inlineStr">
        <is>
          <t>YES</t>
        </is>
      </c>
      <c r="Q800" s="21" t="inlineStr">
        <is>
          <t>Poor</t>
        </is>
      </c>
      <c r="R800" s="40" t="n">
        <v>50</v>
      </c>
      <c r="S800" s="21" t="inlineStr">
        <is>
          <t>CP:R 342 · DL:TT 4 · IR5 38</t>
        </is>
      </c>
      <c r="T800" s="21" t="inlineStr">
        <is>
          <t>An inferior copy of a Mustang Arms Mark III, commonly used by gangers who can’t afford better. A Poor Quality Heavy Pistol.</t>
        </is>
      </c>
    </row>
    <row r="801">
      <c r="A801" s="21" t="inlineStr">
        <is>
          <t>E-TACK Public Defender</t>
        </is>
      </c>
      <c r="B801" s="21" t="inlineStr">
        <is>
          <t>Огнестрельное оружие</t>
        </is>
      </c>
      <c r="C801" s="21" t="inlineStr">
        <is>
          <t>Heavy Pistol</t>
        </is>
      </c>
      <c r="D801" s="21" t="inlineStr">
        <is>
          <t>Handgun</t>
        </is>
      </c>
      <c r="E801" s="21" t="inlineStr">
        <is>
          <t>3d6</t>
        </is>
      </c>
      <c r="F801" s="31" t="n">
        <v>2</v>
      </c>
      <c r="G801" s="31" t="n">
        <v>8</v>
      </c>
      <c r="H801" s="31" t="n"/>
      <c r="I801" s="31" t="n"/>
      <c r="J801" s="31" t="n">
        <v>0</v>
      </c>
      <c r="K801" s="31" t="n">
        <v>0</v>
      </c>
      <c r="L801" s="31" t="n">
        <v>0</v>
      </c>
      <c r="M801" s="31" t="n">
        <v>0</v>
      </c>
      <c r="N801" s="21" t="inlineStr"/>
      <c r="O801" s="21" t="n">
        <v>1</v>
      </c>
      <c r="P801" s="21" t="inlineStr">
        <is>
          <t>YES</t>
        </is>
      </c>
      <c r="Q801" s="21" t="inlineStr">
        <is>
          <t>Poor</t>
        </is>
      </c>
      <c r="R801" s="40" t="n">
        <v>50</v>
      </c>
      <c r="S801" s="21" t="inlineStr">
        <is>
          <t>BC 115</t>
        </is>
      </c>
      <c r="T801" s="21" t="inlineStr">
        <is>
          <t>The E-TACK Public Defender was a short-lived new police standard during the 4th Corporate War. This pistol came with a built-in stun gun that gave officers the option of lethal or less-than-lethal force at just a thought</t>
        </is>
      </c>
    </row>
    <row r="802">
      <c r="A802" s="21" t="inlineStr">
        <is>
          <t>GunMart Midnight Defender</t>
        </is>
      </c>
      <c r="B802" s="21" t="inlineStr">
        <is>
          <t>Огнестрельное оружие</t>
        </is>
      </c>
      <c r="C802" s="21" t="inlineStr">
        <is>
          <t>Heavy Pistol</t>
        </is>
      </c>
      <c r="D802" s="21" t="inlineStr">
        <is>
          <t>Handgun</t>
        </is>
      </c>
      <c r="E802" s="21" t="inlineStr">
        <is>
          <t>3d6</t>
        </is>
      </c>
      <c r="F802" s="31" t="n">
        <v>2</v>
      </c>
      <c r="G802" s="31" t="n">
        <v>8</v>
      </c>
      <c r="H802" s="31" t="n"/>
      <c r="I802" s="31" t="n"/>
      <c r="J802" s="31" t="n">
        <v>0</v>
      </c>
      <c r="K802" s="31" t="n">
        <v>0</v>
      </c>
      <c r="L802" s="31" t="n">
        <v>0</v>
      </c>
      <c r="M802" s="31" t="n">
        <v>0</v>
      </c>
      <c r="N802" s="21" t="inlineStr"/>
      <c r="O802" s="21" t="n">
        <v>1</v>
      </c>
      <c r="P802" s="21" t="inlineStr">
        <is>
          <t>YES</t>
        </is>
      </c>
      <c r="Q802" s="21" t="inlineStr">
        <is>
          <t>Poor</t>
        </is>
      </c>
      <c r="R802" s="40" t="n">
        <v>550</v>
      </c>
      <c r="S802" s="21" t="inlineStr">
        <is>
          <t>DL:TT 4 · IR5 38</t>
        </is>
      </c>
      <c r="T802" s="21" t="inlineStr">
        <is>
          <t>Marketed as the perfect defense when walking home at night, the Midnight Defender does make shooting in the dark easier… when the gun doesn’t jam. A Poor Quality Heavy Pistol. Comes equipped with an installed Infrared Ni</t>
        </is>
      </c>
    </row>
    <row r="803">
      <c r="A803" s="21" t="inlineStr">
        <is>
          <t>GunMart Smart Special</t>
        </is>
      </c>
      <c r="B803" s="21" t="inlineStr">
        <is>
          <t>Огнестрельное оружие</t>
        </is>
      </c>
      <c r="C803" s="21" t="inlineStr">
        <is>
          <t>Heavy Pistol</t>
        </is>
      </c>
      <c r="D803" s="21" t="inlineStr">
        <is>
          <t>Handgun</t>
        </is>
      </c>
      <c r="E803" s="21" t="inlineStr">
        <is>
          <t>3d6</t>
        </is>
      </c>
      <c r="F803" s="31" t="n">
        <v>2</v>
      </c>
      <c r="G803" s="31" t="n">
        <v>8</v>
      </c>
      <c r="H803" s="31" t="n"/>
      <c r="I803" s="31" t="n"/>
      <c r="J803" s="31" t="n">
        <v>0</v>
      </c>
      <c r="K803" s="31" t="n">
        <v>0</v>
      </c>
      <c r="L803" s="31" t="n">
        <v>0</v>
      </c>
      <c r="M803" s="31" t="n">
        <v>0</v>
      </c>
      <c r="N803" s="21" t="inlineStr"/>
      <c r="O803" s="21" t="n">
        <v>1</v>
      </c>
      <c r="P803" s="21" t="inlineStr">
        <is>
          <t>YES</t>
        </is>
      </c>
      <c r="Q803" s="21" t="inlineStr">
        <is>
          <t>Poor</t>
        </is>
      </c>
      <c r="R803" s="40" t="n">
        <v>100</v>
      </c>
      <c r="S803" s="21" t="inlineStr">
        <is>
          <t>BC 108</t>
        </is>
      </c>
      <c r="T803" s="21" t="inlineStr">
        <is>
          <t>GunMart. Your go-to vendor for burner firearms! The Special is a no-frills polymer one-shot designed to be abused until it breaks. The pistol appears to be military grade, but the exterior design hides the rather cheaply</t>
        </is>
      </c>
    </row>
    <row r="804">
      <c r="A804" s="21" t="inlineStr">
        <is>
          <t>GunMart Special</t>
        </is>
      </c>
      <c r="B804" s="21" t="inlineStr">
        <is>
          <t>Огнестрельное оружие</t>
        </is>
      </c>
      <c r="C804" s="21" t="inlineStr">
        <is>
          <t>Heavy Pistol</t>
        </is>
      </c>
      <c r="D804" s="21" t="inlineStr">
        <is>
          <t>Handgun</t>
        </is>
      </c>
      <c r="E804" s="21" t="inlineStr">
        <is>
          <t>3d6</t>
        </is>
      </c>
      <c r="F804" s="31" t="n">
        <v>2</v>
      </c>
      <c r="G804" s="31" t="n">
        <v>8</v>
      </c>
      <c r="H804" s="31" t="n"/>
      <c r="I804" s="31" t="n"/>
      <c r="J804" s="31" t="n">
        <v>0</v>
      </c>
      <c r="K804" s="31" t="n">
        <v>0</v>
      </c>
      <c r="L804" s="31" t="n">
        <v>0</v>
      </c>
      <c r="M804" s="31" t="n">
        <v>0</v>
      </c>
      <c r="N804" s="21" t="inlineStr"/>
      <c r="O804" s="21" t="n">
        <v>1</v>
      </c>
      <c r="P804" s="21" t="inlineStr">
        <is>
          <t>YES</t>
        </is>
      </c>
      <c r="Q804" s="21" t="inlineStr">
        <is>
          <t>Poor</t>
        </is>
      </c>
      <c r="R804" s="40" t="n">
        <v>20</v>
      </c>
      <c r="S804" s="21" t="inlineStr">
        <is>
          <t>BC 108</t>
        </is>
      </c>
      <c r="T804" s="21" t="inlineStr">
        <is>
          <t>Using budget-cutting, low-quality parts GunSmart has produced the cheapest (in all senses of the word) Smartgun on the market today! The Smart Special is a Poor Quality Exotic Heavy Pistol. Whenever you roll a Critical F</t>
        </is>
      </c>
    </row>
    <row r="805">
      <c r="A805" s="21" t="inlineStr">
        <is>
          <t>Hello Cutie Gun-Gun Friend-Friend</t>
        </is>
      </c>
      <c r="B805" s="21" t="inlineStr">
        <is>
          <t>Огнестрельное оружие</t>
        </is>
      </c>
      <c r="C805" s="21" t="inlineStr">
        <is>
          <t>Heavy Pistol</t>
        </is>
      </c>
      <c r="D805" s="21" t="inlineStr">
        <is>
          <t>Shoulder Arms / Handgun</t>
        </is>
      </c>
      <c r="E805" s="21" t="inlineStr">
        <is>
          <t>5d6</t>
        </is>
      </c>
      <c r="F805" s="31" t="n">
        <v>1</v>
      </c>
      <c r="G805" s="31" t="n">
        <v>25</v>
      </c>
      <c r="H805" s="31" t="n"/>
      <c r="I805" s="31" t="n"/>
      <c r="J805" s="31" t="n">
        <v>0</v>
      </c>
      <c r="K805" s="31" t="n">
        <v>0</v>
      </c>
      <c r="L805" s="31" t="n">
        <v>0</v>
      </c>
      <c r="M805" s="31" t="n">
        <v>0</v>
      </c>
      <c r="N805" s="21" t="inlineStr"/>
      <c r="O805" s="21" t="n">
        <v>1</v>
      </c>
      <c r="P805" s="21" t="inlineStr">
        <is>
          <t>NO</t>
        </is>
      </c>
      <c r="Q805" s="21" t="inlineStr">
        <is>
          <t>Excellent</t>
        </is>
      </c>
      <c r="R805" s="40" t="n">
        <v>1000</v>
      </c>
      <c r="S805" s="21" t="inlineStr">
        <is>
          <t>DL:12Cute 4</t>
        </is>
      </c>
      <c r="T805" s="21" t="inlineStr">
        <is>
          <t xml:space="preserve">A working replica of the main character from the cozy Sanroo sports anime Best Friends Forever Ballistic Range Buddies. Engineer Koshiro Yuzu was forced to work alone on the project under a crushing two-week deadline as </t>
        </is>
      </c>
    </row>
    <row r="806">
      <c r="A806" s="21" t="inlineStr">
        <is>
          <t>Militech Fox Dual Ammo</t>
        </is>
      </c>
      <c r="B806" s="21" t="inlineStr">
        <is>
          <t>Огнестрельное оружие</t>
        </is>
      </c>
      <c r="C806" s="21" t="inlineStr">
        <is>
          <t>Heavy Pistol</t>
        </is>
      </c>
      <c r="D806" s="21" t="inlineStr">
        <is>
          <t>Handgun</t>
        </is>
      </c>
      <c r="E806" s="21" t="inlineStr">
        <is>
          <t>3d6</t>
        </is>
      </c>
      <c r="F806" s="31" t="n">
        <v>2</v>
      </c>
      <c r="G806" s="31" t="inlineStr">
        <is>
          <t>10/20</t>
        </is>
      </c>
      <c r="H806" s="31" t="n"/>
      <c r="I806" s="31" t="n"/>
      <c r="J806" s="31" t="n">
        <v>0</v>
      </c>
      <c r="K806" s="31" t="n">
        <v>0</v>
      </c>
      <c r="L806" s="31" t="n">
        <v>0</v>
      </c>
      <c r="M806" s="31" t="n">
        <v>0</v>
      </c>
      <c r="N806" s="21" t="inlineStr"/>
      <c r="O806" s="21" t="n">
        <v>1</v>
      </c>
      <c r="P806" s="21" t="inlineStr">
        <is>
          <t>YES</t>
        </is>
      </c>
      <c r="Q806" s="21" t="inlineStr">
        <is>
          <t>Standard</t>
        </is>
      </c>
      <c r="R806" s="40" t="n">
        <v>1000</v>
      </c>
      <c r="S806" s="21" t="inlineStr">
        <is>
          <t>BC 113</t>
        </is>
      </c>
      <c r="T806" s="21" t="inlineStr">
        <is>
          <t>This clever pistol was originally produced by Militech but has since seen wide-scale reproduction from other weapon manufacturers. Militech designed the Fox to provide the user with options as well as sustained fire capa</t>
        </is>
      </c>
    </row>
    <row r="807">
      <c r="A807" s="21" t="inlineStr">
        <is>
          <t>Militech M-10AF Lexington</t>
        </is>
      </c>
      <c r="B807" s="21" t="inlineStr">
        <is>
          <t>Огнестрельное оружие</t>
        </is>
      </c>
      <c r="C807" s="21" t="inlineStr">
        <is>
          <t>Heavy Pistol</t>
        </is>
      </c>
      <c r="D807" s="21" t="inlineStr">
        <is>
          <t>Handgun</t>
        </is>
      </c>
      <c r="E807" s="21" t="inlineStr">
        <is>
          <t>3d6</t>
        </is>
      </c>
      <c r="F807" s="31" t="n">
        <v>2</v>
      </c>
      <c r="G807" s="31" t="n">
        <v>21</v>
      </c>
      <c r="H807" s="31" t="n"/>
      <c r="I807" s="31" t="n"/>
      <c r="J807" s="31" t="n">
        <v>0</v>
      </c>
      <c r="K807" s="31" t="n">
        <v>0</v>
      </c>
      <c r="L807" s="31" t="n">
        <v>0</v>
      </c>
      <c r="M807" s="31" t="n">
        <v>0</v>
      </c>
      <c r="N807" s="21" t="inlineStr"/>
      <c r="O807" s="21" t="n">
        <v>1</v>
      </c>
      <c r="P807" s="21" t="inlineStr">
        <is>
          <t>YES</t>
        </is>
      </c>
      <c r="Q807" s="21" t="inlineStr">
        <is>
          <t>Standard</t>
        </is>
      </c>
      <c r="R807" s="40" t="n">
        <v>1000</v>
      </c>
      <c r="S807" s="21" t="inlineStr">
        <is>
          <t>CEMK 32</t>
        </is>
      </c>
      <c r="T807" s="21" t="inlineStr">
        <is>
          <t xml:space="preserve">The preferred pistol among Night City cops since 2030 – light and easy on the recoil, it’s perfect for taking down enemies without necessarily killing them on the spot. Thanks to its relatively small dimensions, the gun </t>
        </is>
      </c>
    </row>
    <row r="808">
      <c r="A808" s="21" t="inlineStr">
        <is>
          <t>Militech M-76e Omaha</t>
        </is>
      </c>
      <c r="B808" s="21" t="inlineStr">
        <is>
          <t>Огнестрельное оружие</t>
        </is>
      </c>
      <c r="C808" s="21" t="inlineStr">
        <is>
          <t>Heavy Pistol</t>
        </is>
      </c>
      <c r="D808" s="21" t="inlineStr">
        <is>
          <t>Handgun</t>
        </is>
      </c>
      <c r="E808" s="21" t="inlineStr">
        <is>
          <t>3d6</t>
        </is>
      </c>
      <c r="F808" s="31" t="n">
        <v>2</v>
      </c>
      <c r="G808" s="31" t="n">
        <v>9</v>
      </c>
      <c r="H808" s="31" t="n"/>
      <c r="I808" s="31" t="n"/>
      <c r="J808" s="31" t="n">
        <v>0</v>
      </c>
      <c r="K808" s="31" t="n">
        <v>0</v>
      </c>
      <c r="L808" s="31" t="n">
        <v>0</v>
      </c>
      <c r="M808" s="31" t="n">
        <v>0</v>
      </c>
      <c r="N808" s="21" t="inlineStr"/>
      <c r="O808" s="21" t="n">
        <v>1</v>
      </c>
      <c r="P808" s="21" t="inlineStr">
        <is>
          <t>YES</t>
        </is>
      </c>
      <c r="Q808" s="21" t="inlineStr">
        <is>
          <t>Standard</t>
        </is>
      </c>
      <c r="R808" s="40" t="n">
        <v>500</v>
      </c>
      <c r="S808" s="21" t="inlineStr">
        <is>
          <t>CEMK 33</t>
        </is>
      </c>
      <c r="T808" s="21" t="inlineStr">
        <is>
          <t>The Omaha looks like your classic lead-spitter, but don’t let appearances fool you. This gem from Militech conceals a powerful electromag rail system. It’s no wonder this firearm is commonly found in the holsters of corp</t>
        </is>
      </c>
    </row>
    <row r="809">
      <c r="A809" s="21" t="inlineStr">
        <is>
          <t>Militech Sheriff</t>
        </is>
      </c>
      <c r="B809" s="21" t="inlineStr">
        <is>
          <t>Огнестрельное оружие</t>
        </is>
      </c>
      <c r="C809" s="21" t="inlineStr">
        <is>
          <t>Heavy Pistol</t>
        </is>
      </c>
      <c r="D809" s="21" t="inlineStr">
        <is>
          <t>Handgun</t>
        </is>
      </c>
      <c r="E809" s="21" t="inlineStr">
        <is>
          <t>3d6</t>
        </is>
      </c>
      <c r="F809" s="31" t="n">
        <v>2</v>
      </c>
      <c r="G809" s="31" t="n">
        <v>6</v>
      </c>
      <c r="H809" s="31" t="n"/>
      <c r="I809" s="31" t="n"/>
      <c r="J809" s="31" t="n">
        <v>0</v>
      </c>
      <c r="K809" s="31" t="n">
        <v>0</v>
      </c>
      <c r="L809" s="31" t="n">
        <v>0</v>
      </c>
      <c r="M809" s="31" t="n">
        <v>0</v>
      </c>
      <c r="N809" s="21" t="inlineStr"/>
      <c r="O809" s="21" t="n">
        <v>1</v>
      </c>
      <c r="P809" s="21" t="inlineStr">
        <is>
          <t>YES</t>
        </is>
      </c>
      <c r="Q809" s="21" t="inlineStr">
        <is>
          <t>Excellent</t>
        </is>
      </c>
      <c r="R809" s="40" t="n">
        <v>200</v>
      </c>
      <c r="S809" s="21" t="inlineStr">
        <is>
          <t>DL:TT 4 · IR5 38</t>
        </is>
      </c>
      <c r="T809" s="21" t="inlineStr">
        <is>
          <t>The choice of Militech generals and classic gun enthusiasts everywhere. Militech always keeps at least one classic revolver in their catalog to keep the spirit of the Old West alive. An Excellent Quality Heavy Pistol wit</t>
        </is>
      </c>
    </row>
    <row r="810">
      <c r="A810" s="21" t="inlineStr">
        <is>
          <t>Militech Tactical Umbrella</t>
        </is>
      </c>
      <c r="B810" s="21" t="inlineStr">
        <is>
          <t>Огнестрельное оружие</t>
        </is>
      </c>
      <c r="C810" s="21" t="inlineStr">
        <is>
          <t>Heavy Pistol</t>
        </is>
      </c>
      <c r="D810" s="21" t="inlineStr">
        <is>
          <t>Handgun</t>
        </is>
      </c>
      <c r="E810" s="21" t="inlineStr">
        <is>
          <t>2d6</t>
        </is>
      </c>
      <c r="F810" s="31" t="n">
        <v>2</v>
      </c>
      <c r="G810" s="31" t="n">
        <v>2</v>
      </c>
      <c r="H810" s="31" t="n"/>
      <c r="I810" s="31" t="n"/>
      <c r="J810" s="31" t="n">
        <v>0</v>
      </c>
      <c r="K810" s="31" t="n">
        <v>0</v>
      </c>
      <c r="L810" s="31" t="n">
        <v>0</v>
      </c>
      <c r="M810" s="31" t="n">
        <v>0</v>
      </c>
      <c r="N810" s="21" t="inlineStr"/>
      <c r="O810" s="21" t="n">
        <v>1</v>
      </c>
      <c r="P810" s="21" t="inlineStr">
        <is>
          <t>YES</t>
        </is>
      </c>
      <c r="Q810" s="21" t="inlineStr">
        <is>
          <t>Poor</t>
        </is>
      </c>
      <c r="R810" s="40" t="n">
        <v>1000</v>
      </c>
      <c r="S810" s="21" t="inlineStr">
        <is>
          <t>DL:We 6 · IR2 20</t>
        </is>
      </c>
      <c r="T810" s="21" t="inlineStr">
        <is>
          <t>Part of Militech’s Armed Executive line, the Tactical Umbrella is perfect for anyone who wants to look top-shelf without sacrificing the protection promised to them by the Constitution. Militech’s Tactical Umbrella prote</t>
        </is>
      </c>
    </row>
    <row r="811">
      <c r="A811" s="21" t="inlineStr">
        <is>
          <t>ModFire 10X</t>
        </is>
      </c>
      <c r="B811" s="21" t="inlineStr">
        <is>
          <t>Огнестрельное оружие</t>
        </is>
      </c>
      <c r="C811" s="21" t="inlineStr">
        <is>
          <t>Heavy Pistol</t>
        </is>
      </c>
      <c r="D811" s="21" t="inlineStr">
        <is>
          <t>Handgun 
- 
Shoulder Arms</t>
        </is>
      </c>
      <c r="E811" s="21" t="inlineStr">
        <is>
          <t>3d6</t>
        </is>
      </c>
      <c r="F811" s="31" t="inlineStr">
        <is>
          <t>2 
- 
1 
- 
1</t>
        </is>
      </c>
      <c r="G811" s="31" t="inlineStr">
        <is>
          <t>8 
- 
30 
- 
25</t>
        </is>
      </c>
      <c r="H811" s="31" t="n"/>
      <c r="I811" s="31" t="n"/>
      <c r="J811" s="31" t="n">
        <v>0</v>
      </c>
      <c r="K811" s="31" t="n">
        <v>0</v>
      </c>
      <c r="L811" s="31" t="n">
        <v>0</v>
      </c>
      <c r="M811" s="31" t="n">
        <v>0</v>
      </c>
      <c r="N811" s="21" t="inlineStr"/>
      <c r="O811" s="21" t="inlineStr">
        <is>
          <t>1 
- 
2</t>
        </is>
      </c>
      <c r="P811" s="21" t="inlineStr">
        <is>
          <t>YES 
- 
NO</t>
        </is>
      </c>
      <c r="Q811" s="21" t="inlineStr">
        <is>
          <t>Standard</t>
        </is>
      </c>
      <c r="R811" s="40" t="n">
        <v>1000</v>
      </c>
      <c r="S811" s="21" t="inlineStr">
        <is>
          <t>BC 114</t>
        </is>
      </c>
      <c r="T811" s="21" t="inlineStr">
        <is>
          <t>Back in the day, the ModFire 10X was going to be Centurion Essentials’ next gem in the firearms marketplace. This pistol-turned-SMG-turned-assault rifle came in a lovely black carrying case with all the parts needed to c</t>
        </is>
      </c>
    </row>
    <row r="812">
      <c r="A812" s="21" t="inlineStr">
        <is>
          <t>Mustang Arms Mark II</t>
        </is>
      </c>
      <c r="B812" s="21" t="inlineStr">
        <is>
          <t>Огнестрельное оружие</t>
        </is>
      </c>
      <c r="C812" s="21" t="inlineStr">
        <is>
          <t>Heavy Pistol</t>
        </is>
      </c>
      <c r="D812" s="21" t="inlineStr">
        <is>
          <t>Handgun</t>
        </is>
      </c>
      <c r="E812" s="21" t="inlineStr">
        <is>
          <t>3d6</t>
        </is>
      </c>
      <c r="F812" s="31" t="n">
        <v>2</v>
      </c>
      <c r="G812" s="31" t="n">
        <v>14</v>
      </c>
      <c r="H812" s="31" t="n"/>
      <c r="I812" s="31" t="n"/>
      <c r="J812" s="31" t="n">
        <v>0</v>
      </c>
      <c r="K812" s="31" t="n">
        <v>0</v>
      </c>
      <c r="L812" s="31" t="n">
        <v>0</v>
      </c>
      <c r="M812" s="31" t="n">
        <v>0</v>
      </c>
      <c r="N812" s="21" t="inlineStr"/>
      <c r="O812" s="21" t="n">
        <v>1</v>
      </c>
      <c r="P812" s="21" t="inlineStr">
        <is>
          <t>YES</t>
        </is>
      </c>
      <c r="Q812" s="21" t="inlineStr">
        <is>
          <t>Excellent</t>
        </is>
      </c>
      <c r="R812" s="40" t="n">
        <v>600</v>
      </c>
      <c r="S812" s="21" t="inlineStr">
        <is>
          <t>DL:TT 4 · IR5 38</t>
        </is>
      </c>
      <c r="T812" s="21" t="inlineStr">
        <is>
          <t>Designed with ergonomics in mind and machined with precision, the Mustang Arms Mark II keeps the party going when other heavy pistols run out of ammo. An Excellent Quality Heavy Pistol. Comes equipped with an installed E</t>
        </is>
      </c>
    </row>
    <row r="813">
      <c r="A813" s="21" t="inlineStr">
        <is>
          <t>Mustang Arms Mark III</t>
        </is>
      </c>
      <c r="B813" s="21" t="inlineStr">
        <is>
          <t>Огнестрельное оружие</t>
        </is>
      </c>
      <c r="C813" s="21" t="inlineStr">
        <is>
          <t>Heavy Pistol</t>
        </is>
      </c>
      <c r="D813" s="21" t="inlineStr">
        <is>
          <t>Handgun</t>
        </is>
      </c>
      <c r="E813" s="21" t="inlineStr">
        <is>
          <t>3d6</t>
        </is>
      </c>
      <c r="F813" s="31" t="n">
        <v>2</v>
      </c>
      <c r="G813" s="31" t="n">
        <v>8</v>
      </c>
      <c r="H813" s="31" t="n"/>
      <c r="I813" s="31" t="n"/>
      <c r="J813" s="31" t="n">
        <v>0</v>
      </c>
      <c r="K813" s="31" t="n">
        <v>0</v>
      </c>
      <c r="L813" s="31" t="n">
        <v>0</v>
      </c>
      <c r="M813" s="31" t="n">
        <v>0</v>
      </c>
      <c r="N813" s="21" t="inlineStr"/>
      <c r="O813" s="21" t="n">
        <v>1</v>
      </c>
      <c r="P813" s="21" t="inlineStr">
        <is>
          <t>YES</t>
        </is>
      </c>
      <c r="Q813" s="21" t="inlineStr">
        <is>
          <t>Standard</t>
        </is>
      </c>
      <c r="R813" s="40" t="n">
        <v>100</v>
      </c>
      <c r="S813" s="21" t="inlineStr">
        <is>
          <t>CP:R 342 · DL:TT 4 · IR5 38</t>
        </is>
      </c>
      <c r="T813" s="21" t="inlineStr">
        <is>
          <t>While it is hailed as an evolution of the Mark II, the drive to mass produce these for the 4th Corporate War resulted in less precise machining and a reduced ammo capacity. As a result, it is inferior to its predecessor,</t>
        </is>
      </c>
    </row>
    <row r="814">
      <c r="A814" s="21" t="inlineStr">
        <is>
          <t>Nova Cityhunter X</t>
        </is>
      </c>
      <c r="B814" s="21" t="inlineStr">
        <is>
          <t>Огнестрельное оружие</t>
        </is>
      </c>
      <c r="C814" s="21" t="inlineStr">
        <is>
          <t>Heavy Pistol</t>
        </is>
      </c>
      <c r="D814" s="21" t="inlineStr">
        <is>
          <t>Handgun</t>
        </is>
      </c>
      <c r="E814" s="21" t="inlineStr">
        <is>
          <t>3d6</t>
        </is>
      </c>
      <c r="F814" s="31" t="n">
        <v>2</v>
      </c>
      <c r="G814" s="31" t="n">
        <v>8</v>
      </c>
      <c r="H814" s="31" t="n"/>
      <c r="I814" s="31" t="n"/>
      <c r="J814" s="31" t="n">
        <v>0</v>
      </c>
      <c r="K814" s="31" t="n">
        <v>0</v>
      </c>
      <c r="L814" s="31" t="n">
        <v>0</v>
      </c>
      <c r="M814" s="31" t="n">
        <v>0</v>
      </c>
      <c r="N814" s="21" t="inlineStr"/>
      <c r="O814" s="21" t="n">
        <v>1</v>
      </c>
      <c r="P814" s="21" t="inlineStr">
        <is>
          <t>YES</t>
        </is>
      </c>
      <c r="Q814" s="21" t="inlineStr">
        <is>
          <t>Excellent</t>
        </is>
      </c>
      <c r="R814" s="40" t="n">
        <v>500</v>
      </c>
      <c r="S814" s="21" t="inlineStr">
        <is>
          <t>CP:R 342 · DL:TT 5 · IR5 39</t>
        </is>
      </c>
      <c r="T814" s="21" t="inlineStr">
        <is>
          <t xml:space="preserve">The popularity of the Model 757 Cityhunter encouraged Nova Arms to release other firearms under the same brand name. None of the new weapons moved further away from the 757’s concept than the Cityhunter X. While it is a </t>
        </is>
      </c>
    </row>
    <row r="815">
      <c r="A815" s="21" t="inlineStr">
        <is>
          <t>Nova 757 CityHunter</t>
        </is>
      </c>
      <c r="B815" s="21" t="inlineStr">
        <is>
          <t>Огнестрельное оружие</t>
        </is>
      </c>
      <c r="C815" s="21" t="inlineStr">
        <is>
          <t>Heavy Pistol</t>
        </is>
      </c>
      <c r="D815" s="21" t="inlineStr">
        <is>
          <t>Handgun</t>
        </is>
      </c>
      <c r="E815" s="21" t="inlineStr">
        <is>
          <t>3d6</t>
        </is>
      </c>
      <c r="F815" s="31" t="n">
        <v>2</v>
      </c>
      <c r="G815" s="31" t="n">
        <v>18</v>
      </c>
      <c r="H815" s="31" t="n"/>
      <c r="I815" s="31" t="n"/>
      <c r="J815" s="31" t="n">
        <v>0</v>
      </c>
      <c r="K815" s="31" t="n">
        <v>0</v>
      </c>
      <c r="L815" s="31" t="n">
        <v>0</v>
      </c>
      <c r="M815" s="31" t="n">
        <v>0</v>
      </c>
      <c r="N815" s="21" t="inlineStr"/>
      <c r="O815" s="21" t="n">
        <v>1</v>
      </c>
      <c r="P815" s="21" t="inlineStr">
        <is>
          <t>YES</t>
        </is>
      </c>
      <c r="Q815" s="21" t="inlineStr">
        <is>
          <t>Standard</t>
        </is>
      </c>
      <c r="R815" s="40" t="n">
        <v>1000</v>
      </c>
      <c r="S815" s="21" t="inlineStr">
        <is>
          <t>DL:12Gun 5 · DGD 145</t>
        </is>
      </c>
      <c r="T815" s="21" t="inlineStr">
        <is>
          <t>The Nova Model 757 Cityhunter is an Exotic Heavy Handgun with an 18-shot capacity and a Smartgun Link. Despite being an Exotic weapon, it can fire Smart Ammunition. Ammunition bought for this gun can be fired only by thi</t>
        </is>
      </c>
    </row>
    <row r="816">
      <c r="A816" s="21" t="inlineStr">
        <is>
          <t>Overlord Handcannon</t>
        </is>
      </c>
      <c r="B816" s="21" t="inlineStr">
        <is>
          <t>Огнестрельное оружие</t>
        </is>
      </c>
      <c r="C816" s="21" t="inlineStr">
        <is>
          <t>Heavy Pistol</t>
        </is>
      </c>
      <c r="D816" s="21" t="inlineStr">
        <is>
          <t>Handgun</t>
        </is>
      </c>
      <c r="E816" s="21" t="inlineStr">
        <is>
          <t>3d6</t>
        </is>
      </c>
      <c r="F816" s="31" t="n">
        <v>1</v>
      </c>
      <c r="G816" s="31" t="n">
        <v>8</v>
      </c>
      <c r="H816" s="31" t="n"/>
      <c r="I816" s="31" t="n"/>
      <c r="J816" s="31" t="n">
        <v>0</v>
      </c>
      <c r="K816" s="31" t="n">
        <v>0</v>
      </c>
      <c r="L816" s="31" t="n">
        <v>0</v>
      </c>
      <c r="M816" s="31" t="n">
        <v>0</v>
      </c>
      <c r="N816" s="21" t="inlineStr"/>
      <c r="O816" s="21" t="n">
        <v>1</v>
      </c>
      <c r="P816" s="21" t="inlineStr">
        <is>
          <t>YES</t>
        </is>
      </c>
      <c r="Q816" s="21" t="inlineStr">
        <is>
          <t>Poor</t>
        </is>
      </c>
      <c r="R816" s="40" t="n">
        <v>100</v>
      </c>
      <c r="S816" s="21" t="inlineStr">
        <is>
          <t>BC 106</t>
        </is>
      </c>
      <c r="T816" s="21" t="inlineStr">
        <is>
          <t>GunMart’s answer to ultra-cheap intimidation is the Overlord Handcannon. The Overlord looks like a jacked-up revolver straight out of a classic cop film, but the cylinder is just a costume piece with no functionality. Th</t>
        </is>
      </c>
    </row>
    <row r="817">
      <c r="A817" s="21" t="inlineStr">
        <is>
          <t>Stun Gun</t>
        </is>
      </c>
      <c r="B817" s="21" t="inlineStr">
        <is>
          <t>Огнестрельное оружие</t>
        </is>
      </c>
      <c r="C817" s="21" t="inlineStr">
        <is>
          <t>Heavy Pistol</t>
        </is>
      </c>
      <c r="D817" s="21" t="inlineStr">
        <is>
          <t>Handgun</t>
        </is>
      </c>
      <c r="E817" s="21" t="inlineStr">
        <is>
          <t>3d6</t>
        </is>
      </c>
      <c r="F817" s="31" t="n">
        <v>1</v>
      </c>
      <c r="G817" s="31" t="n">
        <v>8</v>
      </c>
      <c r="H817" s="31" t="n"/>
      <c r="I817" s="31" t="n"/>
      <c r="J817" s="31" t="n">
        <v>0</v>
      </c>
      <c r="K817" s="31" t="n">
        <v>0</v>
      </c>
      <c r="L817" s="31" t="n">
        <v>0</v>
      </c>
      <c r="M817" s="31" t="n">
        <v>0</v>
      </c>
      <c r="N817" s="21" t="inlineStr"/>
      <c r="O817" s="21" t="n">
        <v>1</v>
      </c>
      <c r="P817" s="21" t="inlineStr">
        <is>
          <t>YES</t>
        </is>
      </c>
      <c r="Q817" s="21" t="inlineStr">
        <is>
          <t>Standard</t>
        </is>
      </c>
      <c r="R817" s="40" t="n">
        <v>100</v>
      </c>
      <c r="S817" s="21" t="inlineStr">
        <is>
          <t>CP:R 349</t>
        </is>
      </c>
      <c r="T817" s="21" t="inlineStr">
        <is>
          <t xml:space="preserve">An Exotic Heavy Pistol. If damage dealt by it would reduce a target to under 1 HP, they are instead Unconscious at 1 HP. Damage dealt by this weapon cannot cause a Critical Injury and doesn't ablate armor. Ammunition is </t>
        </is>
      </c>
    </row>
    <row r="818">
      <c r="A818" s="21" t="inlineStr">
        <is>
          <t>Heavy SMG</t>
        </is>
      </c>
      <c r="B818" s="21" t="inlineStr">
        <is>
          <t>Огнестрельное оружие</t>
        </is>
      </c>
      <c r="C818" s="21" t="inlineStr">
        <is>
          <t>Heavy SMG</t>
        </is>
      </c>
      <c r="D818" s="21" t="inlineStr">
        <is>
          <t>Handgun</t>
        </is>
      </c>
      <c r="E818" s="21" t="inlineStr">
        <is>
          <t>3d6</t>
        </is>
      </c>
      <c r="F818" s="31" t="n">
        <v>1</v>
      </c>
      <c r="G818" s="31" t="n">
        <v>30</v>
      </c>
      <c r="H818" s="31" t="n"/>
      <c r="I818" s="31" t="n"/>
      <c r="J818" s="31" t="n">
        <v>0</v>
      </c>
      <c r="K818" s="31" t="n">
        <v>0</v>
      </c>
      <c r="L818" s="31" t="n">
        <v>0</v>
      </c>
      <c r="M818" s="31" t="n">
        <v>0</v>
      </c>
      <c r="N818" s="21" t="inlineStr"/>
      <c r="O818" s="21" t="n">
        <v>1</v>
      </c>
      <c r="P818" s="21" t="inlineStr">
        <is>
          <t>NO</t>
        </is>
      </c>
      <c r="Q818" s="21" t="inlineStr">
        <is>
          <t>Standard</t>
        </is>
      </c>
      <c r="R818" s="40" t="n">
        <v>100</v>
      </c>
      <c r="S818" s="21" t="inlineStr">
        <is>
          <t>CP:R 341</t>
        </is>
      </c>
      <c r="T818" s="21" t="inlineStr">
        <is>
          <t>Generic Heavy Submachine Gun. Can be flavored as any that is not listed here.</t>
        </is>
      </c>
    </row>
    <row r="819">
      <c r="A819" s="21" t="inlineStr">
        <is>
          <t>Arasaka Takanami SMG</t>
        </is>
      </c>
      <c r="B819" s="21" t="inlineStr">
        <is>
          <t>Огнестрельное оружие</t>
        </is>
      </c>
      <c r="C819" s="21" t="inlineStr">
        <is>
          <t>Heavy SMG</t>
        </is>
      </c>
      <c r="D819" s="21" t="inlineStr">
        <is>
          <t>Handgun</t>
        </is>
      </c>
      <c r="E819" s="21" t="inlineStr">
        <is>
          <t>3d6</t>
        </is>
      </c>
      <c r="F819" s="31" t="n">
        <v>1</v>
      </c>
      <c r="G819" s="31" t="n">
        <v>50</v>
      </c>
      <c r="H819" s="31" t="n"/>
      <c r="I819" s="31" t="n"/>
      <c r="J819" s="31" t="n">
        <v>0</v>
      </c>
      <c r="K819" s="31" t="n">
        <v>0</v>
      </c>
      <c r="L819" s="31" t="n">
        <v>0</v>
      </c>
      <c r="M819" s="31" t="n">
        <v>0</v>
      </c>
      <c r="N819" s="21" t="inlineStr"/>
      <c r="O819" s="21" t="n">
        <v>1</v>
      </c>
      <c r="P819" s="21" t="inlineStr">
        <is>
          <t>NO</t>
        </is>
      </c>
      <c r="Q819" s="21" t="inlineStr">
        <is>
          <t>Excellent</t>
        </is>
      </c>
      <c r="R819" s="40" t="n">
        <v>600</v>
      </c>
      <c r="S819" s="21" t="inlineStr">
        <is>
          <t>IR5 116</t>
        </is>
      </c>
      <c r="T819" s="21" t="inlineStr">
        <is>
          <t>A high capacity SMG made as a larger caliber version of the popular Minami 10 for rare security forces where stealth and concealability are not important. While the Takanami became immediately popular inside the company,</t>
        </is>
      </c>
    </row>
    <row r="820">
      <c r="A820" s="21" t="inlineStr">
        <is>
          <t>Arasaka TKI-20 Shingen</t>
        </is>
      </c>
      <c r="B820" s="21" t="inlineStr">
        <is>
          <t>Огнестрельное оружие</t>
        </is>
      </c>
      <c r="C820" s="21" t="inlineStr">
        <is>
          <t>Heavy SMG</t>
        </is>
      </c>
      <c r="D820" s="21" t="inlineStr">
        <is>
          <t>Handgun</t>
        </is>
      </c>
      <c r="E820" s="21" t="inlineStr">
        <is>
          <t>3d6</t>
        </is>
      </c>
      <c r="F820" s="31" t="n">
        <v>1</v>
      </c>
      <c r="G820" s="31" t="n">
        <v>30</v>
      </c>
      <c r="H820" s="31" t="n"/>
      <c r="I820" s="31" t="n"/>
      <c r="J820" s="31" t="n">
        <v>0</v>
      </c>
      <c r="K820" s="31" t="n">
        <v>0</v>
      </c>
      <c r="L820" s="31" t="n">
        <v>0</v>
      </c>
      <c r="M820" s="31" t="n">
        <v>0</v>
      </c>
      <c r="N820" s="21" t="inlineStr"/>
      <c r="O820" s="21" t="n">
        <v>2</v>
      </c>
      <c r="P820" s="21" t="inlineStr">
        <is>
          <t>NO</t>
        </is>
      </c>
      <c r="Q820" s="21" t="inlineStr">
        <is>
          <t>Standard</t>
        </is>
      </c>
      <c r="R820" s="40" t="n">
        <v>1000</v>
      </c>
      <c r="S820" s="21" t="inlineStr">
        <is>
          <t>CEMK 32</t>
        </is>
      </c>
      <c r="T820" s="21" t="inlineStr">
        <is>
          <t>It’s hard to believe that the Shingen’s stopping power, magazine size and numerous technical features fit into such a small body. Throw in an ergonomic design and you’re looking at the dream gun of every soldier and merc</t>
        </is>
      </c>
    </row>
    <row r="821">
      <c r="A821" s="21" t="inlineStr">
        <is>
          <t>Chadran Arms City Reaper</t>
        </is>
      </c>
      <c r="B821" s="21" t="inlineStr">
        <is>
          <t>Огнестрельное оружие</t>
        </is>
      </c>
      <c r="C821" s="21" t="inlineStr">
        <is>
          <t>Heavy SMG</t>
        </is>
      </c>
      <c r="D821" s="21" t="inlineStr">
        <is>
          <t>Handgun</t>
        </is>
      </c>
      <c r="E821" s="21" t="inlineStr">
        <is>
          <t>3d6</t>
        </is>
      </c>
      <c r="F821" s="31" t="n">
        <v>1</v>
      </c>
      <c r="G821" s="31" t="n">
        <v>30</v>
      </c>
      <c r="H821" s="31" t="n"/>
      <c r="I821" s="31" t="n"/>
      <c r="J821" s="31" t="n">
        <v>0</v>
      </c>
      <c r="K821" s="31" t="n">
        <v>0</v>
      </c>
      <c r="L821" s="31" t="n">
        <v>0</v>
      </c>
      <c r="M821" s="31" t="n">
        <v>0</v>
      </c>
      <c r="N821" s="21" t="inlineStr"/>
      <c r="O821" s="21" t="n">
        <v>1</v>
      </c>
      <c r="P821" s="21" t="inlineStr">
        <is>
          <t>NO</t>
        </is>
      </c>
      <c r="Q821" s="21" t="inlineStr">
        <is>
          <t>Poor</t>
        </is>
      </c>
      <c r="R821" s="40" t="n">
        <v>50</v>
      </c>
      <c r="S821" s="21" t="inlineStr">
        <is>
          <t>CP:R 342 · DL:TT 7 · IR5 41</t>
        </is>
      </c>
      <c r="T821" s="21" t="inlineStr">
        <is>
          <t>This dual-barrel, over-under weapon is a common sight among troops belonging to countries with limited budgets. A Poor Quality Heavy SMG.</t>
        </is>
      </c>
    </row>
    <row r="822">
      <c r="A822" s="21" t="inlineStr">
        <is>
          <t>IMI UZ 2045 Pro</t>
        </is>
      </c>
      <c r="B822" s="21" t="inlineStr">
        <is>
          <t>Огнестрельное оружие</t>
        </is>
      </c>
      <c r="C822" s="21" t="inlineStr">
        <is>
          <t>Heavy SMG</t>
        </is>
      </c>
      <c r="D822" s="21" t="inlineStr">
        <is>
          <t>Handgun</t>
        </is>
      </c>
      <c r="E822" s="21" t="inlineStr">
        <is>
          <t>3d6</t>
        </is>
      </c>
      <c r="F822" s="31" t="n">
        <v>1</v>
      </c>
      <c r="G822" s="31" t="n">
        <v>30</v>
      </c>
      <c r="H822" s="31" t="n"/>
      <c r="I822" s="31" t="n"/>
      <c r="J822" s="31" t="n">
        <v>0</v>
      </c>
      <c r="K822" s="31" t="n">
        <v>0</v>
      </c>
      <c r="L822" s="31" t="n">
        <v>0</v>
      </c>
      <c r="M822" s="31" t="n">
        <v>0</v>
      </c>
      <c r="N822" s="21" t="inlineStr"/>
      <c r="O822" s="21" t="n">
        <v>1</v>
      </c>
      <c r="P822" s="21" t="inlineStr">
        <is>
          <t>NO</t>
        </is>
      </c>
      <c r="Q822" s="21" t="inlineStr">
        <is>
          <t>Standard</t>
        </is>
      </c>
      <c r="R822" s="40" t="n">
        <v>600</v>
      </c>
      <c r="S822" s="21" t="inlineStr">
        <is>
          <t>DL:TT 7 · IR5 41</t>
        </is>
      </c>
      <c r="T822" s="21" t="inlineStr">
        <is>
          <t>A classic design, the UZ set the standard for submachine guns back in the day. The 2045 Pro maintainsreliability while adding targeting assistance hardware. A Standard Quality Heavy SMG. It comes equipped with an install</t>
        </is>
      </c>
    </row>
    <row r="823">
      <c r="A823" s="21" t="inlineStr">
        <is>
          <t>Malorian Sub-Flechette Gun</t>
        </is>
      </c>
      <c r="B823" s="21" t="inlineStr">
        <is>
          <t>Огнестрельное оружие</t>
        </is>
      </c>
      <c r="C823" s="21" t="inlineStr">
        <is>
          <t>Heavy SMG</t>
        </is>
      </c>
      <c r="D823" s="21" t="inlineStr">
        <is>
          <t>Handgun</t>
        </is>
      </c>
      <c r="E823" s="21" t="inlineStr">
        <is>
          <t>3d6</t>
        </is>
      </c>
      <c r="F823" s="31" t="n">
        <v>1</v>
      </c>
      <c r="G823" s="31" t="n">
        <v>25</v>
      </c>
      <c r="H823" s="31" t="n"/>
      <c r="I823" s="31" t="n"/>
      <c r="J823" s="31" t="n">
        <v>0</v>
      </c>
      <c r="K823" s="31" t="n">
        <v>0</v>
      </c>
      <c r="L823" s="31" t="n">
        <v>0</v>
      </c>
      <c r="M823" s="31" t="n">
        <v>0</v>
      </c>
      <c r="N823" s="21" t="inlineStr"/>
      <c r="O823" s="21" t="n">
        <v>1</v>
      </c>
      <c r="P823" s="21" t="inlineStr">
        <is>
          <t>NO</t>
        </is>
      </c>
      <c r="Q823" s="21" t="inlineStr">
        <is>
          <t>Excellent</t>
        </is>
      </c>
      <c r="R823" s="40" t="n">
        <v>5000</v>
      </c>
      <c r="S823" s="21" t="inlineStr">
        <is>
          <t>DL:12Gun 4 · IR2 60 · IR5 143</t>
        </is>
      </c>
      <c r="T823" s="21" t="inlineStr">
        <is>
          <t>In 2020, Malorian Arms beat their competition to the punch with the Malorian Arms Sub-Flechette Gun, a flechette submachine gun semi-bullpup that used a rotary bolt system. Firing its own proprietary caseless flechette r</t>
        </is>
      </c>
    </row>
    <row r="824">
      <c r="A824" s="21" t="inlineStr">
        <is>
          <t>Militech Viper</t>
        </is>
      </c>
      <c r="B824" s="21" t="inlineStr">
        <is>
          <t>Огнестрельное оружие</t>
        </is>
      </c>
      <c r="C824" s="21" t="inlineStr">
        <is>
          <t>Heavy SMG</t>
        </is>
      </c>
      <c r="D824" s="21" t="inlineStr">
        <is>
          <t>Handgun</t>
        </is>
      </c>
      <c r="E824" s="21" t="inlineStr">
        <is>
          <t>3d6</t>
        </is>
      </c>
      <c r="F824" s="31" t="n">
        <v>1</v>
      </c>
      <c r="G824" s="31" t="n">
        <v>30</v>
      </c>
      <c r="H824" s="31" t="n"/>
      <c r="I824" s="31" t="n"/>
      <c r="J824" s="31" t="n">
        <v>0</v>
      </c>
      <c r="K824" s="31" t="n">
        <v>0</v>
      </c>
      <c r="L824" s="31" t="n">
        <v>0</v>
      </c>
      <c r="M824" s="31" t="n">
        <v>0</v>
      </c>
      <c r="N824" s="21" t="inlineStr"/>
      <c r="O824" s="21" t="n">
        <v>1</v>
      </c>
      <c r="P824" s="21" t="inlineStr">
        <is>
          <t>NO</t>
        </is>
      </c>
      <c r="Q824" s="21" t="inlineStr">
        <is>
          <t>Excellent</t>
        </is>
      </c>
      <c r="R824" s="40" t="n">
        <v>500</v>
      </c>
      <c r="S824" s="21" t="inlineStr">
        <is>
          <t>CP:R 342 · DL:TT 7 · IR5 41</t>
        </is>
      </c>
      <c r="T824" s="21" t="inlineStr">
        <is>
          <t>Originally commissioned from Militech by PMC/security firm Lazarus, the Viper costs more because it gives more. The Viper’s relatively light frame make the this Heavy SMG perfect for special operations troops. An Excelle</t>
        </is>
      </c>
    </row>
    <row r="825">
      <c r="A825" s="21" t="inlineStr">
        <is>
          <t>S Hello Cutie Happy Dancer</t>
        </is>
      </c>
      <c r="B825" s="21" t="inlineStr">
        <is>
          <t>Огнестрельное оружие</t>
        </is>
      </c>
      <c r="C825" s="21" t="inlineStr">
        <is>
          <t>Heavy SMG</t>
        </is>
      </c>
      <c r="D825" s="21" t="inlineStr">
        <is>
          <t>Handgun</t>
        </is>
      </c>
      <c r="E825" s="21" t="inlineStr">
        <is>
          <t>3d6</t>
        </is>
      </c>
      <c r="F825" s="31" t="n">
        <v>1</v>
      </c>
      <c r="G825" s="31" t="n">
        <v>30</v>
      </c>
      <c r="H825" s="31" t="n"/>
      <c r="I825" s="31" t="n"/>
      <c r="J825" s="31" t="n">
        <v>0</v>
      </c>
      <c r="K825" s="31" t="n">
        <v>0</v>
      </c>
      <c r="L825" s="31" t="n">
        <v>0</v>
      </c>
      <c r="M825" s="31" t="n">
        <v>0</v>
      </c>
      <c r="N825" s="21" t="inlineStr"/>
      <c r="O825" s="21" t="n">
        <v>1</v>
      </c>
      <c r="P825" s="21" t="inlineStr">
        <is>
          <t>NO</t>
        </is>
      </c>
      <c r="Q825" s="21" t="inlineStr">
        <is>
          <t>Excellent</t>
        </is>
      </c>
      <c r="R825" s="40" t="n">
        <v>500</v>
      </c>
      <c r="S825" s="21" t="inlineStr">
        <is>
          <t>DL:TT 7 · IR5 41</t>
        </is>
      </c>
      <c r="T825" s="21" t="inlineStr">
        <is>
          <t>Besides being a well-crafted weapon, the brightly-colored Happy Dancer pings with each shot, mimicking the reward sounds heard when collecting coins or rings in certain video games. An Excellent Quality Heavy SMG. The Ha</t>
        </is>
      </c>
    </row>
    <row r="826">
      <c r="A826" s="21" t="inlineStr">
        <is>
          <t>S Hello Cutie Hidden Cougar</t>
        </is>
      </c>
      <c r="B826" s="21" t="inlineStr">
        <is>
          <t>Огнестрельное оружие</t>
        </is>
      </c>
      <c r="C826" s="21" t="inlineStr">
        <is>
          <t>Heavy SMG</t>
        </is>
      </c>
      <c r="D826" s="21" t="inlineStr">
        <is>
          <t>Handgun</t>
        </is>
      </c>
      <c r="E826" s="21" t="inlineStr">
        <is>
          <t>3d6</t>
        </is>
      </c>
      <c r="F826" s="31" t="n">
        <v>1</v>
      </c>
      <c r="G826" s="31" t="n">
        <v>11</v>
      </c>
      <c r="H826" s="31" t="n"/>
      <c r="I826" s="31" t="n"/>
      <c r="J826" s="31" t="n">
        <v>0</v>
      </c>
      <c r="K826" s="31" t="n">
        <v>0</v>
      </c>
      <c r="L826" s="31" t="n">
        <v>0</v>
      </c>
      <c r="M826" s="31" t="n">
        <v>0</v>
      </c>
      <c r="N826" s="21" t="inlineStr"/>
      <c r="O826" s="21" t="n">
        <v>1</v>
      </c>
      <c r="P826" s="21" t="inlineStr">
        <is>
          <t>NO</t>
        </is>
      </c>
      <c r="Q826" s="21" t="inlineStr">
        <is>
          <t>Excellent</t>
        </is>
      </c>
      <c r="R826" s="40" t="n">
        <v>500</v>
      </c>
      <c r="S826" s="21" t="inlineStr">
        <is>
          <t>DL:TT 7 · IR5 41</t>
        </is>
      </c>
      <c r="T826" s="21" t="inlineStr">
        <is>
          <t>A reproduction of the sleek black signature revolver-style SMG of Yuki, the cold-blooded heroine of the spy anime Public Security Agency Sisters which ran from 2034-2036 in Japan. Although originally targeted at middle-a</t>
        </is>
      </c>
    </row>
    <row r="827">
      <c r="A827" s="21" t="inlineStr">
        <is>
          <t>S Hello Cutie Ultra-K8</t>
        </is>
      </c>
      <c r="B827" s="21" t="inlineStr">
        <is>
          <t>Огнестрельное оружие</t>
        </is>
      </c>
      <c r="C827" s="21" t="inlineStr">
        <is>
          <t>Heavy SMG</t>
        </is>
      </c>
      <c r="D827" s="21" t="inlineStr">
        <is>
          <t>Handgun</t>
        </is>
      </c>
      <c r="E827" s="21" t="inlineStr">
        <is>
          <t>4d6/3</t>
        </is>
      </c>
      <c r="F827" s="31" t="n">
        <v>1</v>
      </c>
      <c r="G827" s="31" t="n">
        <v>30</v>
      </c>
      <c r="H827" s="31" t="n"/>
      <c r="I827" s="31" t="n"/>
      <c r="J827" s="31" t="n">
        <v>0</v>
      </c>
      <c r="K827" s="31" t="n">
        <v>0</v>
      </c>
      <c r="L827" s="31" t="n">
        <v>0</v>
      </c>
      <c r="M827" s="31" t="n">
        <v>0</v>
      </c>
      <c r="N827" s="21" t="inlineStr"/>
      <c r="O827" s="21" t="n">
        <v>1</v>
      </c>
      <c r="P827" s="21" t="inlineStr">
        <is>
          <t>NO</t>
        </is>
      </c>
      <c r="Q827" s="21" t="inlineStr">
        <is>
          <t>Excellent</t>
        </is>
      </c>
      <c r="R827" s="40" t="n">
        <v>5000</v>
      </c>
      <c r="S827" s="21" t="inlineStr">
        <is>
          <t>BC 118</t>
        </is>
      </c>
      <c r="T827" s="21" t="inlineStr">
        <is>
          <t>Don’t let the pink frame fool you. The Hello Cutie Ultra-K8 assault pistol by Sanroo Firearms of Tokyo is a terrifying little machine pistol. This pistol was marketed toward cosplay gangs popping up across Tokyo and soon</t>
        </is>
      </c>
    </row>
    <row r="828">
      <c r="A828" s="21" t="inlineStr">
        <is>
          <t>Living on the Street</t>
        </is>
      </c>
      <c r="B828" s="21" t="inlineStr">
        <is>
          <t>Услуги и жильё</t>
        </is>
      </c>
      <c r="C828" s="21" t="inlineStr">
        <is>
          <t>Housing</t>
        </is>
      </c>
      <c r="D828" s="21" t="inlineStr"/>
      <c r="E828" s="21" t="inlineStr"/>
      <c r="F828" s="31" t="n"/>
      <c r="G828" s="31" t="n"/>
      <c r="H828" s="31" t="n"/>
      <c r="I828" s="31" t="n"/>
      <c r="J828" s="31" t="n">
        <v>0</v>
      </c>
      <c r="K828" s="31" t="n">
        <v>0</v>
      </c>
      <c r="L828" s="31" t="n">
        <v>0</v>
      </c>
      <c r="M828" s="31" t="n">
        <v>0</v>
      </c>
      <c r="N828" s="21" t="inlineStr"/>
      <c r="O828" s="21" t="inlineStr"/>
      <c r="P828" s="21" t="inlineStr"/>
      <c r="Q828" s="21" t="inlineStr"/>
      <c r="R828" s="40" t="n">
        <v>0</v>
      </c>
      <c r="S828" s="21" t="inlineStr">
        <is>
          <t>CP:R 378</t>
        </is>
      </c>
      <c r="T828" s="21" t="inlineStr">
        <is>
          <t>Every night, unless you make a successful DV15 Endurance Check, sleeping on the street will leave you fatigued the next day (You have -2 to everything you attempt while fatigued). Sleeping on the street is also asking fo</t>
        </is>
      </c>
    </row>
    <row r="829">
      <c r="A829" s="21" t="inlineStr">
        <is>
          <t>Living on the Street In a Vehicle</t>
        </is>
      </c>
      <c r="B829" s="21" t="inlineStr">
        <is>
          <t>Услуги и жильё</t>
        </is>
      </c>
      <c r="C829" s="21" t="inlineStr">
        <is>
          <t>Housing</t>
        </is>
      </c>
      <c r="D829" s="21" t="inlineStr"/>
      <c r="E829" s="21" t="inlineStr"/>
      <c r="F829" s="31" t="n"/>
      <c r="G829" s="31" t="n"/>
      <c r="H829" s="31" t="n"/>
      <c r="I829" s="31" t="n"/>
      <c r="J829" s="31" t="n">
        <v>0</v>
      </c>
      <c r="K829" s="31" t="n">
        <v>0</v>
      </c>
      <c r="L829" s="31" t="n">
        <v>0</v>
      </c>
      <c r="M829" s="31" t="n">
        <v>0</v>
      </c>
      <c r="N829" s="21" t="inlineStr"/>
      <c r="O829" s="21" t="inlineStr"/>
      <c r="P829" s="21" t="inlineStr"/>
      <c r="Q829" s="21" t="inlineStr"/>
      <c r="R829" s="40" t="n">
        <v>0</v>
      </c>
      <c r="S829" s="21" t="inlineStr">
        <is>
          <t>CP:R 378</t>
        </is>
      </c>
      <c r="T829" s="21" t="inlineStr">
        <is>
          <t>Living on the street is asking for trouble. Your vehicle requires fully enclosed glass to do this. You will have limited security unless your vehicle has a Security upgrade and Bulletproof windows. You have enough room t</t>
        </is>
      </c>
    </row>
    <row r="830">
      <c r="A830" s="21" t="inlineStr">
        <is>
          <t>VEX Megatower (Rent)</t>
        </is>
      </c>
      <c r="B830" s="21" t="inlineStr">
        <is>
          <t>Услуги и жильё</t>
        </is>
      </c>
      <c r="C830" s="21" t="inlineStr">
        <is>
          <t>Housing</t>
        </is>
      </c>
      <c r="D830" s="21" t="inlineStr"/>
      <c r="E830" s="21" t="inlineStr"/>
      <c r="F830" s="31" t="n"/>
      <c r="G830" s="31" t="n"/>
      <c r="H830" s="31" t="n"/>
      <c r="I830" s="31" t="n"/>
      <c r="J830" s="31" t="n">
        <v>0</v>
      </c>
      <c r="K830" s="31" t="n">
        <v>0</v>
      </c>
      <c r="L830" s="31" t="n">
        <v>0</v>
      </c>
      <c r="M830" s="31" t="n">
        <v>0</v>
      </c>
      <c r="N830" s="21" t="inlineStr"/>
      <c r="O830" s="21" t="inlineStr"/>
      <c r="P830" s="21" t="inlineStr"/>
      <c r="Q830" s="21" t="inlineStr"/>
      <c r="R830" s="40" t="n">
        <v>0</v>
      </c>
      <c r="S830" s="21" t="inlineStr">
        <is>
          <t>Homerule</t>
        </is>
      </c>
      <c r="T830" s="21" t="inlineStr">
        <is>
          <t>"Выберите любую мегабашню и магическим образом в ближайшем почтомате найдете ключ-карту от пустой квартиры" Квартиры в мегабашнях от нетраннера "Векс". Не совсем понятно, какие цели он преследует, но квартира есть кварти</t>
        </is>
      </c>
    </row>
    <row r="831">
      <c r="A831" s="21" t="inlineStr">
        <is>
          <t>Cube Hotel (Rent)</t>
        </is>
      </c>
      <c r="B831" s="21" t="inlineStr">
        <is>
          <t>Услуги и жильё</t>
        </is>
      </c>
      <c r="C831" s="21" t="inlineStr">
        <is>
          <t>Housing</t>
        </is>
      </c>
      <c r="D831" s="21" t="inlineStr"/>
      <c r="E831" s="21" t="inlineStr"/>
      <c r="F831" s="31" t="n"/>
      <c r="G831" s="31" t="n"/>
      <c r="H831" s="31" t="n"/>
      <c r="I831" s="31" t="n"/>
      <c r="J831" s="31" t="n">
        <v>0</v>
      </c>
      <c r="K831" s="31" t="n">
        <v>0</v>
      </c>
      <c r="L831" s="31" t="n">
        <v>0</v>
      </c>
      <c r="M831" s="31" t="n">
        <v>0</v>
      </c>
      <c r="N831" s="21" t="inlineStr"/>
      <c r="O831" s="21" t="inlineStr"/>
      <c r="P831" s="21" t="inlineStr"/>
      <c r="Q831" s="21" t="inlineStr"/>
      <c r="R831" s="40" t="n">
        <v>500</v>
      </c>
      <c r="S831" s="21" t="inlineStr">
        <is>
          <t>CP:R 378</t>
        </is>
      </c>
      <c r="T831" s="21" t="inlineStr">
        <is>
          <t xml:space="preserve">Cube Hotels are located in Zones with Corporate, Moderate, and Combat Threat Ratings. This is by far the cheapest way to live in the city. You live in a single windowless room with a nice strong lock where you can touch </t>
        </is>
      </c>
    </row>
    <row r="832">
      <c r="A832" s="21" t="inlineStr">
        <is>
          <t>Cargo Container (Rent)</t>
        </is>
      </c>
      <c r="B832" s="21" t="inlineStr">
        <is>
          <t>Услуги и жильё</t>
        </is>
      </c>
      <c r="C832" s="21" t="inlineStr">
        <is>
          <t>Housing</t>
        </is>
      </c>
      <c r="D832" s="21" t="inlineStr"/>
      <c r="E832" s="21" t="inlineStr"/>
      <c r="F832" s="31" t="n"/>
      <c r="G832" s="31" t="n"/>
      <c r="H832" s="31" t="n"/>
      <c r="I832" s="31" t="n"/>
      <c r="J832" s="31" t="n">
        <v>0</v>
      </c>
      <c r="K832" s="31" t="n">
        <v>0</v>
      </c>
      <c r="L832" s="31" t="n">
        <v>0</v>
      </c>
      <c r="M832" s="31" t="n">
        <v>0</v>
      </c>
      <c r="N832" s="21" t="inlineStr"/>
      <c r="O832" s="21" t="inlineStr"/>
      <c r="P832" s="21" t="inlineStr"/>
      <c r="Q832" s="21" t="inlineStr"/>
      <c r="R832" s="40" t="n">
        <v>1000</v>
      </c>
      <c r="S832" s="21" t="inlineStr">
        <is>
          <t>CP:R 379</t>
        </is>
      </c>
      <c r="T832" s="21" t="inlineStr">
        <is>
          <t>Cargo Containers are located in the Suburbs, Reclaimed Perimeter, and the Combat Zone. You'll have plenty of places to store your things, a bed to sleep comfortably, a desk, electricity, a refrigerator, microwave, and si</t>
        </is>
      </c>
    </row>
    <row r="833">
      <c r="A833" s="21" t="inlineStr">
        <is>
          <t>Studio Apartment (Rent)</t>
        </is>
      </c>
      <c r="B833" s="21" t="inlineStr">
        <is>
          <t>Услуги и жильё</t>
        </is>
      </c>
      <c r="C833" s="21" t="inlineStr">
        <is>
          <t>Housing</t>
        </is>
      </c>
      <c r="D833" s="21" t="inlineStr"/>
      <c r="E833" s="21" t="inlineStr"/>
      <c r="F833" s="31" t="n"/>
      <c r="G833" s="31" t="n"/>
      <c r="H833" s="31" t="n"/>
      <c r="I833" s="31" t="n"/>
      <c r="J833" s="31" t="n">
        <v>0</v>
      </c>
      <c r="K833" s="31" t="n">
        <v>0</v>
      </c>
      <c r="L833" s="31" t="n">
        <v>0</v>
      </c>
      <c r="M833" s="31" t="n">
        <v>0</v>
      </c>
      <c r="N833" s="21" t="inlineStr"/>
      <c r="O833" s="21" t="inlineStr"/>
      <c r="P833" s="21" t="inlineStr"/>
      <c r="Q833" s="21" t="inlineStr"/>
      <c r="R833" s="40" t="n">
        <v>1500</v>
      </c>
      <c r="S833" s="21" t="inlineStr">
        <is>
          <t>CP:R 379</t>
        </is>
      </c>
      <c r="T833" s="21" t="inlineStr">
        <is>
          <t>Studio Apartments are located in Zones with a Corporate, Moderate, or the Combat Threat Rating. The typical Studio is not spacious by any stretch of the imagination but is the first housing option that truly feels like y</t>
        </is>
      </c>
    </row>
    <row r="834">
      <c r="A834" s="21" t="inlineStr">
        <is>
          <t>Two-Bedroom Apartment (Rent)</t>
        </is>
      </c>
      <c r="B834" s="21" t="inlineStr">
        <is>
          <t>Услуги и жильё</t>
        </is>
      </c>
      <c r="C834" s="21" t="inlineStr">
        <is>
          <t>Housing</t>
        </is>
      </c>
      <c r="D834" s="21" t="inlineStr"/>
      <c r="E834" s="21" t="inlineStr"/>
      <c r="F834" s="31" t="n"/>
      <c r="G834" s="31" t="n"/>
      <c r="H834" s="31" t="n"/>
      <c r="I834" s="31" t="n"/>
      <c r="J834" s="31" t="n">
        <v>0</v>
      </c>
      <c r="K834" s="31" t="n">
        <v>0</v>
      </c>
      <c r="L834" s="31" t="n">
        <v>0</v>
      </c>
      <c r="M834" s="31" t="n">
        <v>0</v>
      </c>
      <c r="N834" s="21" t="inlineStr"/>
      <c r="O834" s="21" t="inlineStr"/>
      <c r="P834" s="21" t="inlineStr"/>
      <c r="Q834" s="21" t="inlineStr"/>
      <c r="R834" s="40" t="n">
        <v>2500</v>
      </c>
      <c r="S834" s="21" t="inlineStr">
        <is>
          <t>CP:R 379</t>
        </is>
      </c>
      <c r="T834" s="21" t="inlineStr">
        <is>
          <t>Two-Bedroom Apartments are located in Zones with a Corporate, Moderate, or the Combat Threat Rating. This comfortable apartment has enough space for two people to live together without ripping each other's cybereyes out.</t>
        </is>
      </c>
    </row>
    <row r="835">
      <c r="A835" s="21" t="inlineStr">
        <is>
          <t>Corp Conapt (Rent)</t>
        </is>
      </c>
      <c r="B835" s="21" t="inlineStr">
        <is>
          <t>Услуги и жильё</t>
        </is>
      </c>
      <c r="C835" s="21" t="inlineStr">
        <is>
          <t>Housing</t>
        </is>
      </c>
      <c r="D835" s="21" t="inlineStr"/>
      <c r="E835" s="21" t="inlineStr"/>
      <c r="F835" s="31" t="n"/>
      <c r="G835" s="31" t="n"/>
      <c r="H835" s="31" t="n"/>
      <c r="I835" s="31" t="n"/>
      <c r="J835" s="31" t="n">
        <v>0</v>
      </c>
      <c r="K835" s="31" t="n">
        <v>0</v>
      </c>
      <c r="L835" s="31" t="n">
        <v>0</v>
      </c>
      <c r="M835" s="31" t="n">
        <v>0</v>
      </c>
      <c r="N835" s="21" t="inlineStr"/>
      <c r="O835" s="21" t="inlineStr"/>
      <c r="P835" s="21" t="inlineStr"/>
      <c r="Q835" s="21" t="inlineStr"/>
      <c r="R835" s="40" t="n">
        <v>0</v>
      </c>
      <c r="S835" s="21" t="inlineStr">
        <is>
          <t>CP:R 379</t>
        </is>
      </c>
      <c r="T835" s="21" t="inlineStr">
        <is>
          <t>Corporate Conapts are located in the Zones with a Corporate Threat Rating, in buildings controlled by individual Corporations. You can't rent or buy a Corporate Conapt, but you might be able to live in one if you know an</t>
        </is>
      </c>
    </row>
    <row r="836">
      <c r="A836" s="21" t="inlineStr">
        <is>
          <t>Upscale Conapt (Rent)</t>
        </is>
      </c>
      <c r="B836" s="21" t="inlineStr">
        <is>
          <t>Услуги и жильё</t>
        </is>
      </c>
      <c r="C836" s="21" t="inlineStr">
        <is>
          <t>Housing</t>
        </is>
      </c>
      <c r="D836" s="21" t="inlineStr"/>
      <c r="E836" s="21" t="inlineStr"/>
      <c r="F836" s="31" t="n"/>
      <c r="G836" s="31" t="n"/>
      <c r="H836" s="31" t="n"/>
      <c r="I836" s="31" t="n"/>
      <c r="J836" s="31" t="n">
        <v>0</v>
      </c>
      <c r="K836" s="31" t="n">
        <v>0</v>
      </c>
      <c r="L836" s="31" t="n">
        <v>0</v>
      </c>
      <c r="M836" s="31" t="n">
        <v>0</v>
      </c>
      <c r="N836" s="21" t="inlineStr"/>
      <c r="O836" s="21" t="inlineStr"/>
      <c r="P836" s="21" t="inlineStr"/>
      <c r="Q836" s="21" t="inlineStr"/>
      <c r="R836" s="40" t="n">
        <v>7500</v>
      </c>
      <c r="S836" s="21" t="inlineStr">
        <is>
          <t>CP:R 379</t>
        </is>
      </c>
      <c r="T836" s="21" t="inlineStr">
        <is>
          <t xml:space="preserve">Upscale Conapts are located in the Zones with a Corporate or Moderate Threat Rating. These are spacious two floor apartments with two bedrooms and bathrooms, in addition to a luxurious master bedroom and master bathroom </t>
        </is>
      </c>
    </row>
    <row r="837">
      <c r="A837" s="21" t="inlineStr">
        <is>
          <t>Luxury Penthouse (Rent)</t>
        </is>
      </c>
      <c r="B837" s="21" t="inlineStr">
        <is>
          <t>Услуги и жильё</t>
        </is>
      </c>
      <c r="C837" s="21" t="inlineStr">
        <is>
          <t>Housing</t>
        </is>
      </c>
      <c r="D837" s="21" t="inlineStr"/>
      <c r="E837" s="21" t="inlineStr"/>
      <c r="F837" s="31" t="n"/>
      <c r="G837" s="31" t="n"/>
      <c r="H837" s="31" t="n"/>
      <c r="I837" s="31" t="n"/>
      <c r="J837" s="31" t="n">
        <v>0</v>
      </c>
      <c r="K837" s="31" t="n">
        <v>0</v>
      </c>
      <c r="L837" s="31" t="n">
        <v>0</v>
      </c>
      <c r="M837" s="31" t="n">
        <v>0</v>
      </c>
      <c r="N837" s="21" t="inlineStr"/>
      <c r="O837" s="21" t="inlineStr"/>
      <c r="P837" s="21" t="inlineStr"/>
      <c r="Q837" s="21" t="inlineStr"/>
      <c r="R837" s="40" t="n">
        <v>15000</v>
      </c>
      <c r="S837" s="21" t="inlineStr">
        <is>
          <t>CP:R 380</t>
        </is>
      </c>
      <c r="T837" s="21" t="inlineStr">
        <is>
          <t>Luxury Penthouses are located on the tops of buildings in Zones with a Corporate Threat Rating. The height of luxury in city living. Two floor layout includes three bedrooms and two bathrooms on the first floor with a ma</t>
        </is>
      </c>
    </row>
    <row r="838">
      <c r="A838" s="21" t="inlineStr">
        <is>
          <t>Corp Beaverville House (Buy)</t>
        </is>
      </c>
      <c r="B838" s="21" t="inlineStr">
        <is>
          <t>Услуги и жильё</t>
        </is>
      </c>
      <c r="C838" s="21" t="inlineStr">
        <is>
          <t>Housing</t>
        </is>
      </c>
      <c r="D838" s="21" t="inlineStr"/>
      <c r="E838" s="21" t="inlineStr"/>
      <c r="F838" s="31" t="n"/>
      <c r="G838" s="31" t="n"/>
      <c r="H838" s="31" t="n"/>
      <c r="I838" s="31" t="n"/>
      <c r="J838" s="31" t="n">
        <v>0</v>
      </c>
      <c r="K838" s="31" t="n">
        <v>0</v>
      </c>
      <c r="L838" s="31" t="n">
        <v>0</v>
      </c>
      <c r="M838" s="31" t="n">
        <v>0</v>
      </c>
      <c r="N838" s="21" t="inlineStr"/>
      <c r="O838" s="21" t="inlineStr"/>
      <c r="P838" s="21" t="inlineStr"/>
      <c r="Q838" s="21" t="inlineStr"/>
      <c r="R838" s="40" t="n">
        <v>200000</v>
      </c>
      <c r="S838" s="21" t="inlineStr">
        <is>
          <t>CP:R 380</t>
        </is>
      </c>
      <c r="T838" s="21" t="inlineStr">
        <is>
          <t>A Beaverville House is located in the Executive Zone, in an area known affectionately by many as Beaverville. You can't rent one, because renters drive down property values and introduce strangers into the community. The</t>
        </is>
      </c>
    </row>
    <row r="839">
      <c r="A839" s="21" t="inlineStr">
        <is>
          <t>Corp Beaverville McMansion (Buy)</t>
        </is>
      </c>
      <c r="B839" s="21" t="inlineStr">
        <is>
          <t>Услуги и жильё</t>
        </is>
      </c>
      <c r="C839" s="21" t="inlineStr">
        <is>
          <t>Housing</t>
        </is>
      </c>
      <c r="D839" s="21" t="inlineStr"/>
      <c r="E839" s="21" t="inlineStr"/>
      <c r="F839" s="31" t="n"/>
      <c r="G839" s="31" t="n"/>
      <c r="H839" s="31" t="n"/>
      <c r="I839" s="31" t="n"/>
      <c r="J839" s="31" t="n">
        <v>0</v>
      </c>
      <c r="K839" s="31" t="n">
        <v>0</v>
      </c>
      <c r="L839" s="31" t="n">
        <v>0</v>
      </c>
      <c r="M839" s="31" t="n">
        <v>0</v>
      </c>
      <c r="N839" s="21" t="inlineStr"/>
      <c r="O839" s="21" t="inlineStr"/>
      <c r="P839" s="21" t="inlineStr"/>
      <c r="Q839" s="21" t="inlineStr"/>
      <c r="R839" s="40" t="n">
        <v>500000</v>
      </c>
      <c r="S839" s="21" t="inlineStr">
        <is>
          <t>CP:R 380</t>
        </is>
      </c>
      <c r="T839" s="21" t="inlineStr">
        <is>
          <t>In addition to the benefits of living in Beaverville in the Executive Zone, which are listed above in the description of a mere Beaverville House, living in a Beaverville McMansion means living there in a suburban castle</t>
        </is>
      </c>
    </row>
    <row r="840">
      <c r="A840" s="21" t="inlineStr">
        <is>
          <t>Int Cyberware Hardened Shielding</t>
        </is>
      </c>
      <c r="B840" s="21" t="inlineStr">
        <is>
          <t>Кибернетика</t>
        </is>
      </c>
      <c r="C840" s="21" t="inlineStr">
        <is>
          <t>Internal</t>
        </is>
      </c>
      <c r="D840" s="21" t="inlineStr"/>
      <c r="E840" s="21" t="inlineStr"/>
      <c r="F840" s="31" t="n"/>
      <c r="G840" s="31" t="n"/>
      <c r="H840" s="31" t="n"/>
      <c r="I840" s="31" t="n"/>
      <c r="J840" s="31" t="n">
        <v>0</v>
      </c>
      <c r="K840" s="31" t="n">
        <v>0</v>
      </c>
      <c r="L840" s="31" t="n">
        <v>0</v>
      </c>
      <c r="M840" s="31" t="n">
        <v>14</v>
      </c>
      <c r="N840" s="21" t="inlineStr">
        <is>
          <t>Hospital</t>
        </is>
      </c>
      <c r="O840" s="21" t="inlineStr"/>
      <c r="P840" s="21" t="inlineStr"/>
      <c r="Q840" s="21" t="inlineStr"/>
      <c r="R840" s="40" t="n">
        <v>1000</v>
      </c>
      <c r="S840" s="21" t="inlineStr">
        <is>
          <t>BC 20</t>
        </is>
      </c>
      <c r="T840" s="21" t="inlineStr">
        <is>
          <t>Wanna know a secret? Inquisitors sometimes blast random people with Microwavers and watch to see if they go haywire because hidden chrome shuts down. Then, while the poor sod is on the ground, they open them up and rip i</t>
        </is>
      </c>
    </row>
    <row r="841">
      <c r="A841" s="21" t="inlineStr">
        <is>
          <t>RacerBracer</t>
        </is>
      </c>
      <c r="B841" s="21" t="inlineStr">
        <is>
          <t>Кибернетика</t>
        </is>
      </c>
      <c r="C841" s="21" t="inlineStr">
        <is>
          <t>Internal</t>
        </is>
      </c>
      <c r="D841" s="21" t="inlineStr"/>
      <c r="E841" s="21" t="inlineStr"/>
      <c r="F841" s="31" t="n"/>
      <c r="G841" s="31" t="n"/>
      <c r="H841" s="31" t="n"/>
      <c r="I841" s="31" t="n"/>
      <c r="J841" s="31" t="n">
        <v>0</v>
      </c>
      <c r="K841" s="31" t="n">
        <v>0</v>
      </c>
      <c r="L841" s="31" t="n">
        <v>0</v>
      </c>
      <c r="M841" s="31" t="n">
        <v>7</v>
      </c>
      <c r="N841" s="21" t="inlineStr">
        <is>
          <t>Hospital</t>
        </is>
      </c>
      <c r="O841" s="21" t="inlineStr"/>
      <c r="P841" s="21" t="inlineStr"/>
      <c r="Q841" s="21" t="inlineStr"/>
      <c r="R841" s="40" t="n">
        <v>500</v>
      </c>
      <c r="S841" s="21" t="inlineStr">
        <is>
          <t>BC 22</t>
        </is>
      </c>
      <c r="T841" s="21" t="inlineStr">
        <is>
          <t>First developed for Rocklin Augmentics’ elite street racing team, the RacerBracer will upgrade your cervical spine to ensure you never suffer the humiliating experience of arriving at a race while wearing a neck brace ag</t>
        </is>
      </c>
    </row>
    <row r="842">
      <c r="A842" s="21" t="inlineStr">
        <is>
          <t>Trauma Response Nanomatrix</t>
        </is>
      </c>
      <c r="B842" s="21" t="inlineStr">
        <is>
          <t>Кибернетика</t>
        </is>
      </c>
      <c r="C842" s="21" t="inlineStr">
        <is>
          <t>Internal</t>
        </is>
      </c>
      <c r="D842" s="21" t="inlineStr"/>
      <c r="E842" s="21" t="inlineStr"/>
      <c r="F842" s="31" t="n"/>
      <c r="G842" s="31" t="n"/>
      <c r="H842" s="31" t="n"/>
      <c r="I842" s="31" t="n"/>
      <c r="J842" s="31" t="n">
        <v>0</v>
      </c>
      <c r="K842" s="31" t="n">
        <v>0</v>
      </c>
      <c r="L842" s="31" t="n">
        <v>0</v>
      </c>
      <c r="M842" s="31" t="n">
        <v>7</v>
      </c>
      <c r="N842" s="21" t="inlineStr">
        <is>
          <t>Hospital</t>
        </is>
      </c>
      <c r="O842" s="21" t="inlineStr"/>
      <c r="P842" s="21" t="inlineStr"/>
      <c r="Q842" s="21" t="inlineStr"/>
      <c r="R842" s="40" t="n">
        <v>1000</v>
      </c>
      <c r="S842" s="21" t="inlineStr">
        <is>
          <t>BC 22 · DL:YNBF 12 · IR5 82</t>
        </is>
      </c>
      <c r="T842" s="21" t="inlineStr">
        <is>
          <t>A cybernetic organ bursting to full with nanomachines ready to regenerate the armor under your skin. Internal Body Cyberware. Once per day, as an Action, activate to repair your Skinweave or Subdermal Armor to full SP. R</t>
        </is>
      </c>
    </row>
    <row r="843">
      <c r="A843" s="21" t="inlineStr">
        <is>
          <t>Contraceptive Implant</t>
        </is>
      </c>
      <c r="B843" s="21" t="inlineStr">
        <is>
          <t>Кибернетика</t>
        </is>
      </c>
      <c r="C843" s="21" t="inlineStr">
        <is>
          <t>Internal</t>
        </is>
      </c>
      <c r="D843" s="21" t="inlineStr"/>
      <c r="E843" s="21" t="inlineStr"/>
      <c r="F843" s="31" t="n"/>
      <c r="G843" s="31" t="n"/>
      <c r="H843" s="31" t="n"/>
      <c r="I843" s="31" t="n"/>
      <c r="J843" s="31" t="n">
        <v>0</v>
      </c>
      <c r="K843" s="31" t="n">
        <v>0</v>
      </c>
      <c r="L843" s="31" t="n">
        <v>0</v>
      </c>
      <c r="M843" s="31" t="n">
        <v>0</v>
      </c>
      <c r="N843" s="21" t="inlineStr">
        <is>
          <t>Mall</t>
        </is>
      </c>
      <c r="O843" s="21" t="inlineStr"/>
      <c r="P843" s="21" t="inlineStr"/>
      <c r="Q843" s="21" t="inlineStr"/>
      <c r="R843" s="40" t="n">
        <v>10</v>
      </c>
      <c r="S843" s="21" t="inlineStr">
        <is>
          <t>CP:R 362</t>
        </is>
      </c>
      <c r="T843" s="21" t="inlineStr">
        <is>
          <t>Implant prevents undesired pregnancy.</t>
        </is>
      </c>
    </row>
    <row r="844">
      <c r="A844" s="21" t="inlineStr">
        <is>
          <t>AudioVox</t>
        </is>
      </c>
      <c r="B844" s="21" t="inlineStr">
        <is>
          <t>Кибернетика</t>
        </is>
      </c>
      <c r="C844" s="21" t="inlineStr">
        <is>
          <t>Internal</t>
        </is>
      </c>
      <c r="D844" s="21" t="inlineStr"/>
      <c r="E844" s="21" t="inlineStr"/>
      <c r="F844" s="31" t="n"/>
      <c r="G844" s="31" t="n"/>
      <c r="H844" s="31" t="n"/>
      <c r="I844" s="31" t="n"/>
      <c r="J844" s="31" t="n">
        <v>0</v>
      </c>
      <c r="K844" s="31" t="n">
        <v>0</v>
      </c>
      <c r="L844" s="31" t="n">
        <v>0</v>
      </c>
      <c r="M844" s="31" t="n">
        <v>3</v>
      </c>
      <c r="N844" s="21" t="inlineStr">
        <is>
          <t>Clinic</t>
        </is>
      </c>
      <c r="O844" s="21" t="inlineStr"/>
      <c r="P844" s="21" t="inlineStr"/>
      <c r="Q844" s="21" t="inlineStr"/>
      <c r="R844" s="40" t="n">
        <v>500</v>
      </c>
      <c r="S844" s="21" t="inlineStr">
        <is>
          <t>CP:R 362</t>
        </is>
      </c>
      <c r="T844" s="21" t="inlineStr">
        <is>
          <t>Vocal synthesizer. User adds +2 to their Acting skill and also adds +2 to their Play Instrument Skill while singing. Multiple installations of this option provide user no additional benefit</t>
        </is>
      </c>
    </row>
    <row r="845">
      <c r="A845" s="21" t="inlineStr">
        <is>
          <t>Enhanced Antibodies</t>
        </is>
      </c>
      <c r="B845" s="21" t="inlineStr">
        <is>
          <t>Кибернетика</t>
        </is>
      </c>
      <c r="C845" s="21" t="inlineStr">
        <is>
          <t>Internal</t>
        </is>
      </c>
      <c r="D845" s="21" t="inlineStr"/>
      <c r="E845" s="21" t="inlineStr"/>
      <c r="F845" s="31" t="n"/>
      <c r="G845" s="31" t="n"/>
      <c r="H845" s="31" t="n"/>
      <c r="I845" s="31" t="n"/>
      <c r="J845" s="31" t="n">
        <v>0</v>
      </c>
      <c r="K845" s="31" t="n">
        <v>0</v>
      </c>
      <c r="L845" s="31" t="n">
        <v>0</v>
      </c>
      <c r="M845" s="31" t="n">
        <v>2</v>
      </c>
      <c r="N845" s="21" t="inlineStr">
        <is>
          <t>Mall</t>
        </is>
      </c>
      <c r="O845" s="21" t="inlineStr"/>
      <c r="P845" s="21" t="inlineStr"/>
      <c r="Q845" s="21" t="inlineStr"/>
      <c r="R845" s="40" t="n">
        <v>500</v>
      </c>
      <c r="S845" s="21" t="inlineStr">
        <is>
          <t>CP:R 362</t>
        </is>
      </c>
      <c r="T845" s="21" t="inlineStr">
        <is>
          <t>After stabilization, the user heals a number of Hit Points equal to twice their BODY for each day they spend resting, doing only light activity, and spending the majority of the day taking it easy until returning to full</t>
        </is>
      </c>
    </row>
    <row r="846">
      <c r="A846" s="21" t="inlineStr">
        <is>
          <t>Midnight LadyTM Sexual Implant</t>
        </is>
      </c>
      <c r="B846" s="21" t="inlineStr">
        <is>
          <t>Кибернетика</t>
        </is>
      </c>
      <c r="C846" s="21" t="inlineStr">
        <is>
          <t>Internal</t>
        </is>
      </c>
      <c r="D846" s="21" t="inlineStr"/>
      <c r="E846" s="21" t="inlineStr"/>
      <c r="F846" s="31" t="n"/>
      <c r="G846" s="31" t="n"/>
      <c r="H846" s="31" t="n"/>
      <c r="I846" s="31" t="n"/>
      <c r="J846" s="31" t="n">
        <v>0</v>
      </c>
      <c r="K846" s="31" t="n">
        <v>0</v>
      </c>
      <c r="L846" s="31" t="n">
        <v>0</v>
      </c>
      <c r="M846" s="31" t="n">
        <v>7</v>
      </c>
      <c r="N846" s="21" t="inlineStr">
        <is>
          <t>Clinic</t>
        </is>
      </c>
      <c r="O846" s="21" t="inlineStr"/>
      <c r="P846" s="21" t="inlineStr"/>
      <c r="Q846" s="21" t="inlineStr"/>
      <c r="R846" s="40" t="n">
        <v>100</v>
      </c>
      <c r="S846" s="21" t="inlineStr">
        <is>
          <t>CP:R 363</t>
        </is>
      </c>
      <c r="T846" s="21" t="inlineStr">
        <is>
          <t>Be a Venus, be the fire. Be desire</t>
        </is>
      </c>
    </row>
    <row r="847">
      <c r="A847" s="21" t="inlineStr">
        <is>
          <t>Mr. StuddTM Sexual Implant</t>
        </is>
      </c>
      <c r="B847" s="21" t="inlineStr">
        <is>
          <t>Кибернетика</t>
        </is>
      </c>
      <c r="C847" s="21" t="inlineStr">
        <is>
          <t>Internal</t>
        </is>
      </c>
      <c r="D847" s="21" t="inlineStr"/>
      <c r="E847" s="21" t="inlineStr"/>
      <c r="F847" s="31" t="n"/>
      <c r="G847" s="31" t="n"/>
      <c r="H847" s="31" t="n"/>
      <c r="I847" s="31" t="n"/>
      <c r="J847" s="31" t="n">
        <v>0</v>
      </c>
      <c r="K847" s="31" t="n">
        <v>0</v>
      </c>
      <c r="L847" s="31" t="n">
        <v>0</v>
      </c>
      <c r="M847" s="31" t="n">
        <v>7</v>
      </c>
      <c r="N847" s="21" t="inlineStr">
        <is>
          <t>Clinic</t>
        </is>
      </c>
      <c r="O847" s="21" t="inlineStr"/>
      <c r="P847" s="21" t="inlineStr"/>
      <c r="Q847" s="21" t="inlineStr"/>
      <c r="R847" s="40" t="n">
        <v>100</v>
      </c>
      <c r="S847" s="21" t="inlineStr">
        <is>
          <t>CP:R 363</t>
        </is>
      </c>
      <c r="T847" s="21" t="inlineStr">
        <is>
          <t>All night, every night. And they'll never know.</t>
        </is>
      </c>
    </row>
    <row r="848">
      <c r="A848" s="21" t="inlineStr">
        <is>
          <t>Nasal Filters</t>
        </is>
      </c>
      <c r="B848" s="21" t="inlineStr">
        <is>
          <t>Кибернетика</t>
        </is>
      </c>
      <c r="C848" s="21" t="inlineStr">
        <is>
          <t>Internal</t>
        </is>
      </c>
      <c r="D848" s="21" t="inlineStr"/>
      <c r="E848" s="21" t="inlineStr"/>
      <c r="F848" s="31" t="n"/>
      <c r="G848" s="31" t="n"/>
      <c r="H848" s="31" t="n"/>
      <c r="I848" s="31" t="n"/>
      <c r="J848" s="31" t="n">
        <v>0</v>
      </c>
      <c r="K848" s="31" t="n">
        <v>0</v>
      </c>
      <c r="L848" s="31" t="n">
        <v>0</v>
      </c>
      <c r="M848" s="31" t="n">
        <v>2</v>
      </c>
      <c r="N848" s="21" t="inlineStr">
        <is>
          <t>Clinic</t>
        </is>
      </c>
      <c r="O848" s="21" t="inlineStr"/>
      <c r="P848" s="21" t="inlineStr"/>
      <c r="Q848" s="21" t="inlineStr"/>
      <c r="R848" s="40" t="n">
        <v>100</v>
      </c>
      <c r="S848" s="21" t="inlineStr">
        <is>
          <t>CP:R 363</t>
        </is>
      </c>
      <c r="T848" s="21" t="inlineStr">
        <is>
          <t>User is immune to the effects of toxic gasses, fumes, and all similar dangers that must be inhaled to affect the user. User can deactivate nasal filters, if desired, without an Action.</t>
        </is>
      </c>
    </row>
    <row r="849">
      <c r="A849" s="21" t="inlineStr">
        <is>
          <t>Toxin Binders</t>
        </is>
      </c>
      <c r="B849" s="21" t="inlineStr">
        <is>
          <t>Кибернетика</t>
        </is>
      </c>
      <c r="C849" s="21" t="inlineStr">
        <is>
          <t>Internal</t>
        </is>
      </c>
      <c r="D849" s="21" t="inlineStr"/>
      <c r="E849" s="21" t="inlineStr"/>
      <c r="F849" s="31" t="n"/>
      <c r="G849" s="31" t="n"/>
      <c r="H849" s="31" t="n"/>
      <c r="I849" s="31" t="n"/>
      <c r="J849" s="31" t="n">
        <v>0</v>
      </c>
      <c r="K849" s="31" t="n">
        <v>0</v>
      </c>
      <c r="L849" s="31" t="n">
        <v>0</v>
      </c>
      <c r="M849" s="31" t="n">
        <v>2</v>
      </c>
      <c r="N849" s="21" t="inlineStr">
        <is>
          <t>Clinic</t>
        </is>
      </c>
      <c r="O849" s="21" t="inlineStr"/>
      <c r="P849" s="21" t="inlineStr"/>
      <c r="Q849" s="21" t="inlineStr"/>
      <c r="R849" s="40" t="n">
        <v>100</v>
      </c>
      <c r="S849" s="21" t="inlineStr">
        <is>
          <t>CP:R 363</t>
        </is>
      </c>
      <c r="T849" s="21" t="inlineStr">
        <is>
          <t>User adds +2 to their Resist Torture/Drugs Skill. Multiple installations of this option provide user no additional benefit.</t>
        </is>
      </c>
    </row>
    <row r="850">
      <c r="A850" s="21" t="inlineStr">
        <is>
          <t>Vampyres</t>
        </is>
      </c>
      <c r="B850" s="21" t="inlineStr">
        <is>
          <t>Кибернетика</t>
        </is>
      </c>
      <c r="C850" s="21" t="inlineStr">
        <is>
          <t>Internal</t>
        </is>
      </c>
      <c r="D850" s="21" t="inlineStr"/>
      <c r="E850" s="21" t="inlineStr"/>
      <c r="F850" s="31" t="n"/>
      <c r="G850" s="31" t="n"/>
      <c r="H850" s="31" t="n"/>
      <c r="I850" s="31" t="n"/>
      <c r="J850" s="31" t="n">
        <v>0</v>
      </c>
      <c r="K850" s="31" t="n">
        <v>0</v>
      </c>
      <c r="L850" s="31" t="n">
        <v>0</v>
      </c>
      <c r="M850" s="31" t="n">
        <v>14</v>
      </c>
      <c r="N850" s="21" t="inlineStr">
        <is>
          <t>Clinic</t>
        </is>
      </c>
      <c r="O850" s="21" t="inlineStr"/>
      <c r="P850" s="21" t="inlineStr"/>
      <c r="Q850" s="21" t="inlineStr"/>
      <c r="R850" s="40" t="n">
        <v>500</v>
      </c>
      <c r="S850" s="21" t="inlineStr">
        <is>
          <t>CP:R 363</t>
        </is>
      </c>
      <c r="T850" s="21" t="inlineStr">
        <is>
          <t>Fangs implanted in the user's mouth. An Excellent Quality Light Melee Weapon (1d6 damage, 2 ROF) that can be successfully concealed without a Check. A Vial of Poison or Biotoxin (purchased separately, see Gear List on pg</t>
        </is>
      </c>
    </row>
    <row r="851">
      <c r="A851" s="21" t="inlineStr">
        <is>
          <t>Cybersnake</t>
        </is>
      </c>
      <c r="B851" s="21" t="inlineStr">
        <is>
          <t>Кибернетика</t>
        </is>
      </c>
      <c r="C851" s="21" t="inlineStr">
        <is>
          <t>Internal</t>
        </is>
      </c>
      <c r="D851" s="21" t="inlineStr"/>
      <c r="E851" s="21" t="inlineStr"/>
      <c r="F851" s="31" t="n"/>
      <c r="G851" s="31" t="n"/>
      <c r="H851" s="31" t="n"/>
      <c r="I851" s="31" t="n"/>
      <c r="J851" s="31" t="n">
        <v>0</v>
      </c>
      <c r="K851" s="31" t="n">
        <v>0</v>
      </c>
      <c r="L851" s="31" t="n">
        <v>0</v>
      </c>
      <c r="M851" s="31" t="n">
        <v>14</v>
      </c>
      <c r="N851" s="21" t="inlineStr">
        <is>
          <t>Hospital</t>
        </is>
      </c>
      <c r="O851" s="21" t="inlineStr"/>
      <c r="P851" s="21" t="inlineStr"/>
      <c r="Q851" s="21" t="inlineStr"/>
      <c r="R851" s="40" t="n">
        <v>1000</v>
      </c>
      <c r="S851" s="21" t="inlineStr">
        <is>
          <t>CP:R 363</t>
        </is>
      </c>
      <c r="T851" s="21" t="inlineStr">
        <is>
          <t>Horrifying throat/esophagus-mounted tentacle weapon. A Very Heavy Melee Weapon (4d6, 1 ROF) that can be successfully concealed without a Check.</t>
        </is>
      </c>
    </row>
    <row r="852">
      <c r="A852" s="21" t="inlineStr">
        <is>
          <t>Gills</t>
        </is>
      </c>
      <c r="B852" s="21" t="inlineStr">
        <is>
          <t>Кибернетика</t>
        </is>
      </c>
      <c r="C852" s="21" t="inlineStr">
        <is>
          <t>Internal</t>
        </is>
      </c>
      <c r="D852" s="21" t="inlineStr"/>
      <c r="E852" s="21" t="inlineStr"/>
      <c r="F852" s="31" t="n"/>
      <c r="G852" s="31" t="n"/>
      <c r="H852" s="31" t="n"/>
      <c r="I852" s="31" t="n"/>
      <c r="J852" s="31" t="n">
        <v>0</v>
      </c>
      <c r="K852" s="31" t="n">
        <v>0</v>
      </c>
      <c r="L852" s="31" t="n">
        <v>0</v>
      </c>
      <c r="M852" s="31" t="n">
        <v>7</v>
      </c>
      <c r="N852" s="21" t="inlineStr">
        <is>
          <t>Hospital</t>
        </is>
      </c>
      <c r="O852" s="21" t="inlineStr"/>
      <c r="P852" s="21" t="inlineStr"/>
      <c r="Q852" s="21" t="inlineStr"/>
      <c r="R852" s="40" t="n">
        <v>1000</v>
      </c>
      <c r="S852" s="21" t="inlineStr">
        <is>
          <t>CP:R 363</t>
        </is>
      </c>
      <c r="T852" s="21" t="inlineStr">
        <is>
          <t>User can breathe underwater.</t>
        </is>
      </c>
    </row>
    <row r="853">
      <c r="A853" s="21" t="inlineStr">
        <is>
          <t>Grafted Muscle &amp; Bone Lace</t>
        </is>
      </c>
      <c r="B853" s="21" t="inlineStr">
        <is>
          <t>Кибернетика</t>
        </is>
      </c>
      <c r="C853" s="21" t="inlineStr">
        <is>
          <t>Internal</t>
        </is>
      </c>
      <c r="D853" s="21" t="inlineStr"/>
      <c r="E853" s="21" t="inlineStr"/>
      <c r="F853" s="31" t="n"/>
      <c r="G853" s="31" t="n"/>
      <c r="H853" s="31" t="n"/>
      <c r="I853" s="31" t="n"/>
      <c r="J853" s="31" t="n">
        <v>0</v>
      </c>
      <c r="K853" s="31" t="n">
        <v>0</v>
      </c>
      <c r="L853" s="31" t="n">
        <v>0</v>
      </c>
      <c r="M853" s="31" t="n">
        <v>14</v>
      </c>
      <c r="N853" s="21" t="inlineStr">
        <is>
          <t>Hospital</t>
        </is>
      </c>
      <c r="O853" s="21" t="inlineStr"/>
      <c r="P853" s="21" t="inlineStr"/>
      <c r="Q853" s="21" t="inlineStr"/>
      <c r="R853" s="40" t="n">
        <v>1000</v>
      </c>
      <c r="S853" s="21" t="inlineStr">
        <is>
          <t>CP:R 363</t>
        </is>
      </c>
      <c r="T853" s="21" t="inlineStr">
        <is>
          <t>User increases their BODY by 2. This increase in BODY changes a Character's HP and Death Save. This cannot increase the user's BODY to 11 or higher.</t>
        </is>
      </c>
    </row>
    <row r="854">
      <c r="A854" s="21" t="inlineStr">
        <is>
          <t>Independent Air Supply</t>
        </is>
      </c>
      <c r="B854" s="21" t="inlineStr">
        <is>
          <t>Кибернетика</t>
        </is>
      </c>
      <c r="C854" s="21" t="inlineStr">
        <is>
          <t>Internal</t>
        </is>
      </c>
      <c r="D854" s="21" t="inlineStr"/>
      <c r="E854" s="21" t="inlineStr"/>
      <c r="F854" s="31" t="n"/>
      <c r="G854" s="31" t="n"/>
      <c r="H854" s="31" t="n"/>
      <c r="I854" s="31" t="n"/>
      <c r="J854" s="31" t="n">
        <v>0</v>
      </c>
      <c r="K854" s="31" t="n">
        <v>0</v>
      </c>
      <c r="L854" s="31" t="n">
        <v>0</v>
      </c>
      <c r="M854" s="31" t="n">
        <v>2</v>
      </c>
      <c r="N854" s="21" t="inlineStr">
        <is>
          <t>Hospital</t>
        </is>
      </c>
      <c r="O854" s="21" t="inlineStr"/>
      <c r="P854" s="21" t="inlineStr"/>
      <c r="Q854" s="21" t="inlineStr"/>
      <c r="R854" s="40" t="n">
        <v>1000</v>
      </c>
      <c r="S854" s="21" t="inlineStr">
        <is>
          <t>CP:R 363</t>
        </is>
      </c>
      <c r="T854" s="21" t="inlineStr">
        <is>
          <t>Contains 30 minutes of air, before the user needs to refill the tank from the ambient air, which takes an hour. Alternatively, replacing an empty tank with a full one (50eb), takes an Action.</t>
        </is>
      </c>
    </row>
    <row r="855">
      <c r="A855" s="21" t="inlineStr">
        <is>
          <t>Radar/Sonar Implant</t>
        </is>
      </c>
      <c r="B855" s="21" t="inlineStr">
        <is>
          <t>Кибернетика</t>
        </is>
      </c>
      <c r="C855" s="21" t="inlineStr">
        <is>
          <t>Internal</t>
        </is>
      </c>
      <c r="D855" s="21" t="inlineStr"/>
      <c r="E855" s="21" t="inlineStr"/>
      <c r="F855" s="31" t="n"/>
      <c r="G855" s="31" t="n"/>
      <c r="H855" s="31" t="n"/>
      <c r="I855" s="31" t="n"/>
      <c r="J855" s="31" t="n">
        <v>0</v>
      </c>
      <c r="K855" s="31" t="n">
        <v>0</v>
      </c>
      <c r="L855" s="31" t="n">
        <v>0</v>
      </c>
      <c r="M855" s="31" t="n">
        <v>7</v>
      </c>
      <c r="N855" s="21" t="inlineStr">
        <is>
          <t>Clinic</t>
        </is>
      </c>
      <c r="O855" s="21" t="inlineStr"/>
      <c r="P855" s="21" t="inlineStr"/>
      <c r="Q855" s="21" t="inlineStr"/>
      <c r="R855" s="40" t="n">
        <v>1000</v>
      </c>
      <c r="S855" s="21" t="inlineStr">
        <is>
          <t>CP:R 363</t>
        </is>
      </c>
      <c r="T855" s="21" t="inlineStr">
        <is>
          <t>Constantly scans terrain within 50m/yds of user, including underwater, for new threats. Scan does not include anything behind cover, like the contents of a room behind a closed door. User receives a beep from the GM alon</t>
        </is>
      </c>
    </row>
    <row r="856">
      <c r="A856" s="21" t="inlineStr">
        <is>
          <t>Quick Change Faceplate Mount</t>
        </is>
      </c>
      <c r="B856" s="21" t="inlineStr">
        <is>
          <t>Кибернетика</t>
        </is>
      </c>
      <c r="C856" s="21" t="inlineStr">
        <is>
          <t>Internal</t>
        </is>
      </c>
      <c r="D856" s="21" t="inlineStr"/>
      <c r="E856" s="21" t="inlineStr"/>
      <c r="F856" s="31" t="n"/>
      <c r="G856" s="31" t="n"/>
      <c r="H856" s="31" t="n"/>
      <c r="I856" s="31" t="n"/>
      <c r="J856" s="31" t="n">
        <v>0</v>
      </c>
      <c r="K856" s="31" t="n">
        <v>0</v>
      </c>
      <c r="L856" s="31" t="n">
        <v>0</v>
      </c>
      <c r="M856" s="31" t="n">
        <v>14</v>
      </c>
      <c r="N856" s="21" t="inlineStr">
        <is>
          <t>Hospital</t>
        </is>
      </c>
      <c r="O856" s="21" t="inlineStr"/>
      <c r="P856" s="21" t="inlineStr"/>
      <c r="Q856" s="21" t="inlineStr"/>
      <c r="R856" s="40" t="n">
        <v>1000</v>
      </c>
      <c r="S856" s="21" t="inlineStr">
        <is>
          <t>DL:12RED 4 · IR5 100</t>
        </is>
      </c>
      <c r="T856" s="21" t="inlineStr">
        <is>
          <t>Need a new look for a hot date? Sure, you can ask your Fixer friend to snag you a spot at a Bodysculpting clinic, but the smart, modern, and hip fashionista is skipping the scalpel and buying custom Faceplates for any oc</t>
        </is>
      </c>
    </row>
    <row r="857">
      <c r="A857" s="21" t="inlineStr">
        <is>
          <t>Sycust Cyberspine</t>
        </is>
      </c>
      <c r="B857" s="21" t="inlineStr">
        <is>
          <t>Кибернетика</t>
        </is>
      </c>
      <c r="C857" s="21" t="inlineStr">
        <is>
          <t>Internal</t>
        </is>
      </c>
      <c r="D857" s="21" t="inlineStr"/>
      <c r="E857" s="21" t="inlineStr"/>
      <c r="F857" s="31" t="n"/>
      <c r="G857" s="31" t="n"/>
      <c r="H857" s="31" t="n"/>
      <c r="I857" s="31" t="n"/>
      <c r="J857" s="31" t="n">
        <v>0</v>
      </c>
      <c r="K857" s="31" t="n">
        <v>0</v>
      </c>
      <c r="L857" s="31" t="n">
        <v>0</v>
      </c>
      <c r="M857" s="31" t="n">
        <v>7</v>
      </c>
      <c r="N857" s="21" t="inlineStr">
        <is>
          <t>Hospital</t>
        </is>
      </c>
      <c r="O857" s="21" t="inlineStr"/>
      <c r="P857" s="21" t="inlineStr"/>
      <c r="Q857" s="21" t="inlineStr"/>
      <c r="R857" s="40" t="n">
        <v>1000</v>
      </c>
      <c r="S857" s="21" t="inlineStr">
        <is>
          <t>DL:12RED 5 · IR5 101 · IR5 14</t>
        </is>
      </c>
      <c r="T857" s="21" t="inlineStr">
        <is>
          <t>Your spine is too precious. You need the invincibility of metal: a Cyberspine. Military-grade, double-walled, and now with extra articulation, 80% of existing users report “meets or exceeds expectations.” Internal Body C</t>
        </is>
      </c>
    </row>
    <row r="858">
      <c r="A858" s="21" t="inlineStr">
        <is>
          <t>Bodyweight AutoInjector</t>
        </is>
      </c>
      <c r="B858" s="21" t="inlineStr">
        <is>
          <t>Кибернетика</t>
        </is>
      </c>
      <c r="C858" s="21" t="inlineStr">
        <is>
          <t>Internal</t>
        </is>
      </c>
      <c r="D858" s="21" t="inlineStr"/>
      <c r="E858" s="21" t="inlineStr"/>
      <c r="F858" s="31" t="n"/>
      <c r="G858" s="31" t="n"/>
      <c r="H858" s="31" t="n"/>
      <c r="I858" s="31" t="n"/>
      <c r="J858" s="31" t="n">
        <v>0</v>
      </c>
      <c r="K858" s="31" t="n">
        <v>0</v>
      </c>
      <c r="L858" s="31" t="n">
        <v>0</v>
      </c>
      <c r="M858" s="31" t="n">
        <v>3</v>
      </c>
      <c r="N858" s="21" t="inlineStr">
        <is>
          <t>Clinic</t>
        </is>
      </c>
      <c r="O858" s="21" t="inlineStr"/>
      <c r="P858" s="21" t="inlineStr"/>
      <c r="Q858" s="21" t="inlineStr"/>
      <c r="R858" s="40" t="n">
        <v>100</v>
      </c>
      <c r="S858" s="21" t="inlineStr">
        <is>
          <t>DL:HP 5 · IR4 7</t>
        </is>
      </c>
      <c r="T858" s="21" t="inlineStr">
        <is>
          <t>“If you’re planning to make combat drugs a big part of your kit, this is the cyberware for you. No need to stop to shoot up when the shooting starts, and no one’s gonna clock an autoinjector in a pat down.” Internal Body</t>
        </is>
      </c>
    </row>
    <row r="859">
      <c r="A859" s="21" t="inlineStr">
        <is>
          <t>Appetite Controller</t>
        </is>
      </c>
      <c r="B859" s="21" t="inlineStr">
        <is>
          <t>Кибернетика</t>
        </is>
      </c>
      <c r="C859" s="21" t="inlineStr">
        <is>
          <t>Internal</t>
        </is>
      </c>
      <c r="D859" s="21" t="inlineStr"/>
      <c r="E859" s="21" t="inlineStr"/>
      <c r="F859" s="31" t="n"/>
      <c r="G859" s="31" t="n"/>
      <c r="H859" s="31" t="n"/>
      <c r="I859" s="31" t="n"/>
      <c r="J859" s="31" t="n">
        <v>0</v>
      </c>
      <c r="K859" s="31" t="n">
        <v>0</v>
      </c>
      <c r="L859" s="31" t="n">
        <v>0</v>
      </c>
      <c r="M859" s="31" t="n">
        <v>7</v>
      </c>
      <c r="N859" s="21" t="inlineStr">
        <is>
          <t>Hospital</t>
        </is>
      </c>
      <c r="O859" s="21" t="inlineStr"/>
      <c r="P859" s="21" t="inlineStr"/>
      <c r="Q859" s="21" t="inlineStr"/>
      <c r="R859" s="40" t="n">
        <v>500</v>
      </c>
      <c r="S859" s="21" t="inlineStr">
        <is>
          <t>DL:MHC 2 · IR2 72 · IR3 46</t>
        </is>
      </c>
      <c r="T859" s="21" t="inlineStr">
        <is>
          <t>Internal Body Cyberware. Requires Biomonitor. Allows the user to manage and ignore hunger at the touch of a button using their Biomonitor. This allows the user to ignore Humanity Loss from the Long-term Environmental Str</t>
        </is>
      </c>
    </row>
    <row r="860">
      <c r="A860" s="21" t="inlineStr">
        <is>
          <t>NeuTongue</t>
        </is>
      </c>
      <c r="B860" s="21" t="inlineStr">
        <is>
          <t>Кибернетика</t>
        </is>
      </c>
      <c r="C860" s="21" t="inlineStr">
        <is>
          <t>Internal</t>
        </is>
      </c>
      <c r="D860" s="21" t="inlineStr"/>
      <c r="E860" s="21" t="inlineStr"/>
      <c r="F860" s="31" t="n"/>
      <c r="G860" s="31" t="n"/>
      <c r="H860" s="31" t="n"/>
      <c r="I860" s="31" t="n"/>
      <c r="J860" s="31" t="n">
        <v>0</v>
      </c>
      <c r="K860" s="31" t="n">
        <v>0</v>
      </c>
      <c r="L860" s="31" t="n">
        <v>0</v>
      </c>
      <c r="M860" s="31" t="n">
        <v>7</v>
      </c>
      <c r="N860" s="21" t="inlineStr">
        <is>
          <t>Hospital</t>
        </is>
      </c>
      <c r="O860" s="21" t="inlineStr"/>
      <c r="P860" s="21" t="inlineStr"/>
      <c r="Q860" s="21" t="inlineStr"/>
      <c r="R860" s="40" t="n">
        <v>100</v>
      </c>
      <c r="S860" s="21" t="inlineStr">
        <is>
          <t>DL:MHC 3 · IR2 73 · IR3 47</t>
        </is>
      </c>
      <c r="T860" s="21" t="inlineStr">
        <is>
          <t>Internal Body Cyberware. Cybernetic tongue alters the user’s sense of taste. Using a linked Agent, virtual seasoning can be added to food. Can be deactivated by the user at any time without an action, eliminating the use</t>
        </is>
      </c>
    </row>
    <row r="861">
      <c r="A861" s="21" t="inlineStr">
        <is>
          <t>Firebreather</t>
        </is>
      </c>
      <c r="B861" s="21" t="inlineStr">
        <is>
          <t>Кибернетика</t>
        </is>
      </c>
      <c r="C861" s="21" t="inlineStr">
        <is>
          <t>Internal</t>
        </is>
      </c>
      <c r="D861" s="21" t="inlineStr"/>
      <c r="E861" s="21" t="inlineStr"/>
      <c r="F861" s="31" t="n"/>
      <c r="G861" s="31" t="n"/>
      <c r="H861" s="31" t="n"/>
      <c r="I861" s="31" t="n"/>
      <c r="J861" s="31" t="n">
        <v>0</v>
      </c>
      <c r="K861" s="31" t="n">
        <v>0</v>
      </c>
      <c r="L861" s="31" t="n">
        <v>0</v>
      </c>
      <c r="M861" s="31" t="n">
        <v>14</v>
      </c>
      <c r="N861" s="21" t="inlineStr">
        <is>
          <t>Hospital</t>
        </is>
      </c>
      <c r="O861" s="21" t="inlineStr"/>
      <c r="P861" s="21" t="inlineStr"/>
      <c r="Q861" s="21" t="inlineStr"/>
      <c r="R861" s="40" t="n">
        <v>1000</v>
      </c>
      <c r="S861" s="21" t="inlineStr">
        <is>
          <t>IR2 73</t>
        </is>
      </c>
      <c r="T861" s="21" t="inlineStr">
        <is>
          <t>Internal Body Cyberware. Requires 2 Option Slots. An exotic shotgun, installed in the user’s throat, fired by opening the mouth and hyperextending the tongue It is incompatible with all weapon attachments and may only lo</t>
        </is>
      </c>
    </row>
    <row r="862">
      <c r="A862" s="21" t="inlineStr">
        <is>
          <t>Cyberskull</t>
        </is>
      </c>
      <c r="B862" s="21" t="inlineStr">
        <is>
          <t>Кибернетика</t>
        </is>
      </c>
      <c r="C862" s="21" t="inlineStr">
        <is>
          <t>Internal</t>
        </is>
      </c>
      <c r="D862" s="21" t="inlineStr"/>
      <c r="E862" s="21" t="inlineStr"/>
      <c r="F862" s="31" t="n"/>
      <c r="G862" s="31" t="n"/>
      <c r="H862" s="31" t="n"/>
      <c r="I862" s="31" t="n"/>
      <c r="J862" s="31" t="n">
        <v>0</v>
      </c>
      <c r="K862" s="31" t="n">
        <v>0</v>
      </c>
      <c r="L862" s="31" t="n">
        <v>0</v>
      </c>
      <c r="M862" s="31" t="n">
        <v>14</v>
      </c>
      <c r="N862" s="21" t="inlineStr">
        <is>
          <t>Hospital</t>
        </is>
      </c>
      <c r="O862" s="21" t="inlineStr"/>
      <c r="P862" s="21" t="inlineStr"/>
      <c r="Q862" s="21" t="inlineStr"/>
      <c r="R862" s="40" t="n">
        <v>5000</v>
      </c>
      <c r="S862" s="21" t="inlineStr">
        <is>
          <t>IR3 105</t>
        </is>
      </c>
      <c r="T862" s="21" t="inlineStr">
        <is>
          <t>How can you call yourself a Metalhead if you don’t have a metal head? What you need is a Cyberskull to protect you from life’s many dangers – like bullets, explosions, and samurai swords! You don’t have to be accident-pr</t>
        </is>
      </c>
    </row>
    <row r="863">
      <c r="A863" s="21" t="inlineStr">
        <is>
          <t>Int Hydraulics Upgrade</t>
        </is>
      </c>
      <c r="B863" s="21" t="inlineStr">
        <is>
          <t>Кибернетика</t>
        </is>
      </c>
      <c r="C863" s="21" t="inlineStr">
        <is>
          <t>Internal</t>
        </is>
      </c>
      <c r="D863" s="21" t="inlineStr"/>
      <c r="E863" s="21" t="inlineStr"/>
      <c r="F863" s="31" t="n"/>
      <c r="G863" s="31" t="n"/>
      <c r="H863" s="31" t="n"/>
      <c r="I863" s="31" t="n"/>
      <c r="J863" s="31" t="n">
        <v>0</v>
      </c>
      <c r="K863" s="31" t="n">
        <v>0</v>
      </c>
      <c r="L863" s="31" t="n">
        <v>0</v>
      </c>
      <c r="M863" s="31" t="n">
        <v>3</v>
      </c>
      <c r="N863" s="21" t="inlineStr">
        <is>
          <t>Hospital</t>
        </is>
      </c>
      <c r="O863" s="21" t="inlineStr"/>
      <c r="P863" s="21" t="inlineStr"/>
      <c r="Q863" s="21" t="inlineStr"/>
      <c r="R863" s="40" t="n">
        <v>1000</v>
      </c>
      <c r="S863" s="21" t="inlineStr">
        <is>
          <t>IR3 107</t>
        </is>
      </c>
      <c r="T863" s="21" t="inlineStr">
        <is>
          <t>When your body is built on a hydraulic frame, improvements can always be made to ensure efficiency – sold separately, of course. Internal Body Cyberware. May only be installed in a Full Body Conversion with an Internal L</t>
        </is>
      </c>
    </row>
    <row r="864">
      <c r="A864" s="21" t="inlineStr">
        <is>
          <t>Int Hydraulics Upgrade, Tuned</t>
        </is>
      </c>
      <c r="B864" s="21" t="inlineStr">
        <is>
          <t>Кибернетика</t>
        </is>
      </c>
      <c r="C864" s="21" t="inlineStr">
        <is>
          <t>Internal</t>
        </is>
      </c>
      <c r="D864" s="21" t="inlineStr"/>
      <c r="E864" s="21" t="inlineStr"/>
      <c r="F864" s="31" t="n"/>
      <c r="G864" s="31" t="n"/>
      <c r="H864" s="31" t="n"/>
      <c r="I864" s="31" t="n"/>
      <c r="J864" s="31" t="n">
        <v>0</v>
      </c>
      <c r="K864" s="31" t="n">
        <v>0</v>
      </c>
      <c r="L864" s="31" t="n">
        <v>0</v>
      </c>
      <c r="M864" s="31" t="n">
        <v>3</v>
      </c>
      <c r="N864" s="21" t="inlineStr">
        <is>
          <t>Hospital</t>
        </is>
      </c>
      <c r="O864" s="21" t="inlineStr"/>
      <c r="P864" s="21" t="inlineStr"/>
      <c r="Q864" s="21" t="inlineStr"/>
      <c r="R864" s="40" t="n">
        <v>5000</v>
      </c>
      <c r="S864" s="21" t="inlineStr">
        <is>
          <t>IR3 107</t>
        </is>
      </c>
      <c r="T864" s="21" t="inlineStr">
        <is>
          <t xml:space="preserve">Efficiency is good. Highly tuned efficiency is even better. Improve your frame! Internal Body Cyberware. May only be installed in a Full Body Conversion with an Internal Linear Frame. User’s REF, DEX, and MOVE STATS are </t>
        </is>
      </c>
    </row>
    <row r="865">
      <c r="A865" s="21" t="inlineStr">
        <is>
          <t>Int Hydraulics Upgrade, Perfected</t>
        </is>
      </c>
      <c r="B865" s="21" t="inlineStr">
        <is>
          <t>Кибернетика</t>
        </is>
      </c>
      <c r="C865" s="21" t="inlineStr">
        <is>
          <t>Internal</t>
        </is>
      </c>
      <c r="D865" s="21" t="inlineStr"/>
      <c r="E865" s="21" t="inlineStr"/>
      <c r="F865" s="31" t="n"/>
      <c r="G865" s="31" t="n"/>
      <c r="H865" s="31" t="n"/>
      <c r="I865" s="31" t="n"/>
      <c r="J865" s="31" t="n">
        <v>0</v>
      </c>
      <c r="K865" s="31" t="n">
        <v>0</v>
      </c>
      <c r="L865" s="31" t="n">
        <v>0</v>
      </c>
      <c r="M865" s="31" t="n">
        <v>3</v>
      </c>
      <c r="N865" s="21" t="inlineStr">
        <is>
          <t>Hospital</t>
        </is>
      </c>
      <c r="O865" s="21" t="inlineStr"/>
      <c r="P865" s="21" t="inlineStr"/>
      <c r="Q865" s="21" t="inlineStr"/>
      <c r="R865" s="40" t="n">
        <v>20000</v>
      </c>
      <c r="S865" s="21" t="inlineStr">
        <is>
          <t>IR3 108</t>
        </is>
      </c>
      <c r="T865" s="21" t="inlineStr">
        <is>
          <t>Go ultimate full Borg! Internal Body Cyberware. May only be installed in a Full Body Conversion with an Internal Linear Frame. User’s REF, DEX, and MOVE STATS are all set at 8 unless they would otherwise be higher for th</t>
        </is>
      </c>
    </row>
    <row r="866">
      <c r="A866" s="21" t="inlineStr">
        <is>
          <t>Light Melee Weapon</t>
        </is>
      </c>
      <c r="B866" s="21" t="inlineStr">
        <is>
          <t>Ближний бой</t>
        </is>
      </c>
      <c r="C866" s="21" t="inlineStr">
        <is>
          <t>Light Melee Weapon</t>
        </is>
      </c>
      <c r="D866" s="21" t="inlineStr">
        <is>
          <t>Melee Weapon</t>
        </is>
      </c>
      <c r="E866" s="21" t="inlineStr">
        <is>
          <t>1d6</t>
        </is>
      </c>
      <c r="F866" s="31" t="n">
        <v>2</v>
      </c>
      <c r="G866" s="31" t="n"/>
      <c r="H866" s="31" t="n"/>
      <c r="I866" s="31" t="n"/>
      <c r="J866" s="31" t="n">
        <v>0</v>
      </c>
      <c r="K866" s="31" t="n">
        <v>0</v>
      </c>
      <c r="L866" s="31" t="n">
        <v>0</v>
      </c>
      <c r="M866" s="31" t="n">
        <v>0</v>
      </c>
      <c r="N866" s="21" t="inlineStr"/>
      <c r="O866" s="21" t="inlineStr"/>
      <c r="P866" s="21" t="inlineStr">
        <is>
          <t>YES</t>
        </is>
      </c>
      <c r="Q866" s="21" t="inlineStr"/>
      <c r="R866" s="40" t="n">
        <v>50</v>
      </c>
      <c r="S866" s="21" t="inlineStr">
        <is>
          <t>CP:R 340</t>
        </is>
      </c>
      <c r="T866" s="21" t="inlineStr">
        <is>
          <t>Generic Light Melee Weapon. Can be flavored as any that is not listed here. Example: Combat Knife, Tomahawk</t>
        </is>
      </c>
    </row>
    <row r="867">
      <c r="A867" s="21" t="inlineStr">
        <is>
          <t>Captain Cuddlefish Ultra Snag-Em</t>
        </is>
      </c>
      <c r="B867" s="21" t="inlineStr">
        <is>
          <t>Ближний бой</t>
        </is>
      </c>
      <c r="C867" s="21" t="inlineStr">
        <is>
          <t>Light Melee Weapon</t>
        </is>
      </c>
      <c r="D867" s="21" t="inlineStr">
        <is>
          <t>Melee Weapon</t>
        </is>
      </c>
      <c r="E867" s="21" t="inlineStr">
        <is>
          <t>1d6</t>
        </is>
      </c>
      <c r="F867" s="31" t="n">
        <v>2</v>
      </c>
      <c r="G867" s="31" t="n"/>
      <c r="H867" s="31" t="n"/>
      <c r="I867" s="31" t="n"/>
      <c r="J867" s="31" t="n">
        <v>0</v>
      </c>
      <c r="K867" s="31" t="n">
        <v>0</v>
      </c>
      <c r="L867" s="31" t="n">
        <v>0</v>
      </c>
      <c r="M867" s="31" t="n">
        <v>0</v>
      </c>
      <c r="N867" s="21" t="inlineStr"/>
      <c r="O867" s="21" t="inlineStr"/>
      <c r="P867" s="21" t="inlineStr">
        <is>
          <t>YES</t>
        </is>
      </c>
      <c r="Q867" s="21" t="inlineStr"/>
      <c r="R867" s="40" t="n">
        <v>200</v>
      </c>
      <c r="S867" s="21" t="inlineStr">
        <is>
          <t>DL:12Cute 3</t>
        </is>
      </c>
      <c r="T867" s="21" t="inlineStr">
        <is>
          <t>The Captain Cuttlefish Ultra Snag-Em is a plush designed to look like the main character of the titular children's anime. When squeezed, it launches an adhesive chain that can pull objects right out of a persons hand fro</t>
        </is>
      </c>
    </row>
    <row r="868">
      <c r="A868" s="21" t="inlineStr">
        <is>
          <t>Stickball Stick</t>
        </is>
      </c>
      <c r="B868" s="21" t="inlineStr">
        <is>
          <t>Ближний бой</t>
        </is>
      </c>
      <c r="C868" s="21" t="inlineStr">
        <is>
          <t>Light Melee Weapon</t>
        </is>
      </c>
      <c r="D868" s="21" t="inlineStr">
        <is>
          <t>Melee Weapon</t>
        </is>
      </c>
      <c r="E868" s="21" t="inlineStr">
        <is>
          <t>1d6</t>
        </is>
      </c>
      <c r="F868" s="31" t="n">
        <v>2</v>
      </c>
      <c r="G868" s="31" t="n"/>
      <c r="H868" s="31" t="n"/>
      <c r="I868" s="31" t="n"/>
      <c r="J868" s="31" t="n">
        <v>0</v>
      </c>
      <c r="K868" s="31" t="n">
        <v>0</v>
      </c>
      <c r="L868" s="31" t="n">
        <v>0</v>
      </c>
      <c r="M868" s="31" t="n">
        <v>0</v>
      </c>
      <c r="N868" s="21" t="inlineStr"/>
      <c r="O868" s="21" t="inlineStr"/>
      <c r="P868" s="21" t="inlineStr">
        <is>
          <t>NO</t>
        </is>
      </c>
      <c r="Q868" s="21" t="inlineStr"/>
      <c r="R868" s="40" t="n">
        <v>100</v>
      </c>
      <c r="S868" s="21" t="inlineStr">
        <is>
          <t>DL:Stick 4 · IR4 34</t>
        </is>
      </c>
      <c r="T868" s="21" t="inlineStr">
        <is>
          <t>The Stickball Stick is a lacrosse stick upgraded by a Tech for use in the sport of Stickball. It cannot kill or cause a critical injury, only cause a person to fall unconscious. This weapon deals an additional 1d6 damage</t>
        </is>
      </c>
    </row>
    <row r="869">
      <c r="A869" s="21" t="inlineStr">
        <is>
          <t>CE Thermal Dagger</t>
        </is>
      </c>
      <c r="B869" s="21" t="inlineStr">
        <is>
          <t>Ближний бой</t>
        </is>
      </c>
      <c r="C869" s="21" t="inlineStr">
        <is>
          <t>Light Melee Weapon</t>
        </is>
      </c>
      <c r="D869" s="21" t="inlineStr">
        <is>
          <t>Melee Weapon</t>
        </is>
      </c>
      <c r="E869" s="21" t="inlineStr">
        <is>
          <t>1d6</t>
        </is>
      </c>
      <c r="F869" s="31" t="n">
        <v>2</v>
      </c>
      <c r="G869" s="31" t="n"/>
      <c r="H869" s="31" t="n"/>
      <c r="I869" s="31" t="n"/>
      <c r="J869" s="31" t="n">
        <v>0</v>
      </c>
      <c r="K869" s="31" t="n">
        <v>0</v>
      </c>
      <c r="L869" s="31" t="n">
        <v>0</v>
      </c>
      <c r="M869" s="31" t="n">
        <v>0</v>
      </c>
      <c r="N869" s="21" t="inlineStr"/>
      <c r="O869" s="21" t="inlineStr"/>
      <c r="P869" s="21" t="inlineStr">
        <is>
          <t>YES</t>
        </is>
      </c>
      <c r="Q869" s="21" t="inlineStr"/>
      <c r="R869" s="40" t="n">
        <v>1000</v>
      </c>
      <c r="S869" s="21" t="inlineStr">
        <is>
          <t>DL:12RED 2 · IR5 98</t>
        </is>
      </c>
      <c r="T869" s="21" t="inlineStr">
        <is>
          <t>Anyone or anything hit by the Thermal Dagger is strongly set on fire. The weapon can be engraved for an additional 10 eb.</t>
        </is>
      </c>
    </row>
    <row r="870">
      <c r="A870" s="21" t="inlineStr">
        <is>
          <t>Metacorp Chaingun “Victoria”</t>
        </is>
      </c>
      <c r="B870" s="21" t="inlineStr">
        <is>
          <t>Огнестрельное оружие</t>
        </is>
      </c>
      <c r="C870" s="21" t="inlineStr">
        <is>
          <t>Machine Gun</t>
        </is>
      </c>
      <c r="D870" s="21" t="inlineStr">
        <is>
          <t>Autofire</t>
        </is>
      </c>
      <c r="E870" s="21" t="inlineStr">
        <is>
          <t>-</t>
        </is>
      </c>
      <c r="F870" s="31" t="n">
        <v>1</v>
      </c>
      <c r="G870" s="31" t="n">
        <v>100</v>
      </c>
      <c r="H870" s="31" t="n"/>
      <c r="I870" s="31" t="n"/>
      <c r="J870" s="31" t="n">
        <v>0</v>
      </c>
      <c r="K870" s="31" t="n">
        <v>0</v>
      </c>
      <c r="L870" s="31" t="n">
        <v>0</v>
      </c>
      <c r="M870" s="31" t="n">
        <v>0</v>
      </c>
      <c r="N870" s="21" t="inlineStr"/>
      <c r="O870" s="21" t="n">
        <v>2</v>
      </c>
      <c r="P870" s="21" t="inlineStr">
        <is>
          <t>NO</t>
        </is>
      </c>
      <c r="Q870" s="21" t="inlineStr">
        <is>
          <t>Excellent</t>
        </is>
      </c>
      <c r="R870" s="40" t="n">
        <v>4000</v>
      </c>
      <c r="S870" s="21" t="inlineStr">
        <is>
          <t>IR5 116</t>
        </is>
      </c>
      <c r="T870" s="21" t="inlineStr">
        <is>
          <t>Reloading this weapon requires two Reload Actions. Firing this weapon requires BODY 12 or Higher unless it is mounted. Can only be fired using the Autofire and Suppressive Fire Special Firing Modes, which consumes 20 bul</t>
        </is>
      </c>
    </row>
    <row r="871">
      <c r="A871" s="21" t="inlineStr">
        <is>
          <t>Midnight Arms Midnight Assault HB</t>
        </is>
      </c>
      <c r="B871" s="21" t="inlineStr">
        <is>
          <t>Огнестрельное оружие</t>
        </is>
      </c>
      <c r="C871" s="21" t="inlineStr">
        <is>
          <t>Machine Gun</t>
        </is>
      </c>
      <c r="D871" s="21" t="inlineStr">
        <is>
          <t>Heavy Weapons</t>
        </is>
      </c>
      <c r="E871" s="21" t="inlineStr">
        <is>
          <t>5d6</t>
        </is>
      </c>
      <c r="F871" s="31" t="n">
        <v>1</v>
      </c>
      <c r="G871" s="31" t="n">
        <v>60</v>
      </c>
      <c r="H871" s="31" t="n"/>
      <c r="I871" s="31" t="n"/>
      <c r="J871" s="31" t="n">
        <v>0</v>
      </c>
      <c r="K871" s="31" t="n">
        <v>0</v>
      </c>
      <c r="L871" s="31" t="n">
        <v>0</v>
      </c>
      <c r="M871" s="31" t="n">
        <v>0</v>
      </c>
      <c r="N871" s="21" t="inlineStr"/>
      <c r="O871" s="21" t="n">
        <v>2</v>
      </c>
      <c r="P871" s="21" t="inlineStr">
        <is>
          <t>NO</t>
        </is>
      </c>
      <c r="Q871" s="21" t="inlineStr">
        <is>
          <t>Standard</t>
        </is>
      </c>
      <c r="R871" s="40" t="n">
        <v>3000</v>
      </c>
      <c r="S871" s="21" t="inlineStr">
        <is>
          <t>IR5 116</t>
        </is>
      </c>
      <c r="T871" s="21" t="inlineStr">
        <is>
          <t>Standard Quality Machinegun, uses Marksman Rifle Range Table. Firing this weapon requires BODY 11 or Higher unless it is mounted or the user is Prone. A Nomad may choose to receive this weapon when they first install a V</t>
        </is>
      </c>
    </row>
    <row r="872">
      <c r="A872" s="21" t="inlineStr">
        <is>
          <t>Militech MK.27 LMG</t>
        </is>
      </c>
      <c r="B872" s="21" t="inlineStr">
        <is>
          <t>Огнестрельное оружие</t>
        </is>
      </c>
      <c r="C872" s="21" t="inlineStr">
        <is>
          <t>Machine Gun</t>
        </is>
      </c>
      <c r="D872" s="21" t="inlineStr">
        <is>
          <t>Heavy Weapons</t>
        </is>
      </c>
      <c r="E872" s="21" t="inlineStr">
        <is>
          <t>4d6</t>
        </is>
      </c>
      <c r="F872" s="31" t="n">
        <v>1</v>
      </c>
      <c r="G872" s="31" t="n">
        <v>80</v>
      </c>
      <c r="H872" s="31" t="n"/>
      <c r="I872" s="31" t="n"/>
      <c r="J872" s="31" t="n">
        <v>0</v>
      </c>
      <c r="K872" s="31" t="n">
        <v>0</v>
      </c>
      <c r="L872" s="31" t="n">
        <v>0</v>
      </c>
      <c r="M872" s="31" t="n">
        <v>0</v>
      </c>
      <c r="N872" s="21" t="inlineStr"/>
      <c r="O872" s="21" t="n">
        <v>2</v>
      </c>
      <c r="P872" s="21" t="inlineStr">
        <is>
          <t>NO</t>
        </is>
      </c>
      <c r="Q872" s="21" t="inlineStr">
        <is>
          <t>Standard</t>
        </is>
      </c>
      <c r="R872" s="40" t="n">
        <v>1400</v>
      </c>
      <c r="S872" s="21" t="inlineStr">
        <is>
          <t>IR5 116</t>
        </is>
      </c>
      <c r="T872" s="21" t="inlineStr">
        <is>
          <t>Stanard Quality Machinegun, uses Assault Rifle Range Table. Reloading this weapon requires two Reload Actions. Firing this weapon requires BODY 10 or Higher unless it is mounted or the user is Prone. A Nomad may choose t</t>
        </is>
      </c>
    </row>
    <row r="873">
      <c r="A873" s="21" t="inlineStr">
        <is>
          <t>Techtronika Russia BMG-500 Silver</t>
        </is>
      </c>
      <c r="B873" s="21" t="inlineStr">
        <is>
          <t>Огнестрельное оружие</t>
        </is>
      </c>
      <c r="C873" s="21" t="inlineStr">
        <is>
          <t>Machine Gun</t>
        </is>
      </c>
      <c r="D873" s="21" t="inlineStr">
        <is>
          <t>Heavy Weapons</t>
        </is>
      </c>
      <c r="E873" s="21" t="inlineStr">
        <is>
          <t>5d6</t>
        </is>
      </c>
      <c r="F873" s="31" t="n">
        <v>1</v>
      </c>
      <c r="G873" s="31" t="n">
        <v>500</v>
      </c>
      <c r="H873" s="31" t="n"/>
      <c r="I873" s="31" t="n"/>
      <c r="J873" s="31" t="n">
        <v>0</v>
      </c>
      <c r="K873" s="31" t="n">
        <v>0</v>
      </c>
      <c r="L873" s="31" t="n">
        <v>0</v>
      </c>
      <c r="M873" s="31" t="n">
        <v>0</v>
      </c>
      <c r="N873" s="21" t="inlineStr"/>
      <c r="O873" s="21" t="n">
        <v>2</v>
      </c>
      <c r="P873" s="21" t="inlineStr">
        <is>
          <t>NO</t>
        </is>
      </c>
      <c r="Q873" s="21" t="inlineStr">
        <is>
          <t>Standard</t>
        </is>
      </c>
      <c r="R873" s="40" t="n">
        <v>3000</v>
      </c>
      <c r="S873" s="21" t="inlineStr">
        <is>
          <t>IR5 118</t>
        </is>
      </c>
      <c r="T873" s="21" t="inlineStr">
        <is>
          <t>Firing this weapon requires a BODY 11 or higher unless it is mounted or the user is Prone. A Nomad may choose to receive this weapon when they first install a Vehicle Heavy Weapon Mount.</t>
        </is>
      </c>
    </row>
    <row r="874">
      <c r="A874" s="21" t="inlineStr">
        <is>
          <t>Tsunami Arms Helix Citrus</t>
        </is>
      </c>
      <c r="B874" s="21" t="inlineStr">
        <is>
          <t>Огнестрельное оружие</t>
        </is>
      </c>
      <c r="C874" s="21" t="inlineStr">
        <is>
          <t>Machine Gun</t>
        </is>
      </c>
      <c r="D874" s="21" t="inlineStr">
        <is>
          <t>Autofire</t>
        </is>
      </c>
      <c r="E874" s="21" t="inlineStr">
        <is>
          <t>-</t>
        </is>
      </c>
      <c r="F874" s="31" t="n">
        <v>1</v>
      </c>
      <c r="G874" s="31" t="n">
        <v>40</v>
      </c>
      <c r="H874" s="31" t="n"/>
      <c r="I874" s="31" t="n"/>
      <c r="J874" s="31" t="n">
        <v>0</v>
      </c>
      <c r="K874" s="31" t="n">
        <v>0</v>
      </c>
      <c r="L874" s="31" t="n">
        <v>0</v>
      </c>
      <c r="M874" s="31" t="n">
        <v>0</v>
      </c>
      <c r="N874" s="21" t="inlineStr"/>
      <c r="O874" s="21" t="n">
        <v>2</v>
      </c>
      <c r="P874" s="21" t="inlineStr">
        <is>
          <t>NO</t>
        </is>
      </c>
      <c r="Q874" s="21" t="inlineStr">
        <is>
          <t>Excellent</t>
        </is>
      </c>
      <c r="R874" s="40" t="n">
        <v>5000</v>
      </c>
      <c r="S874" s="21" t="inlineStr">
        <is>
          <t>IR5 118</t>
        </is>
      </c>
      <c r="T874" s="21" t="inlineStr">
        <is>
          <t>Reloading this weapon requires two Reload Actions. Can only be fired using the Autofire Special Firing Mode. Firing this weapon requires BODY 11 or Higher unless it is mounted.</t>
        </is>
      </c>
    </row>
    <row r="875">
      <c r="A875" s="21" t="inlineStr">
        <is>
          <t>Scatter Ratter</t>
        </is>
      </c>
      <c r="B875" s="21" t="inlineStr">
        <is>
          <t>Огнестрельное оружие</t>
        </is>
      </c>
      <c r="C875" s="21" t="inlineStr">
        <is>
          <t>Machine Gun</t>
        </is>
      </c>
      <c r="D875" s="21" t="inlineStr">
        <is>
          <t>Heavy Weapons</t>
        </is>
      </c>
      <c r="E875" s="21" t="inlineStr">
        <is>
          <t>4d6</t>
        </is>
      </c>
      <c r="F875" s="31" t="n">
        <v>2</v>
      </c>
      <c r="G875" s="31" t="n">
        <v>56</v>
      </c>
      <c r="H875" s="31" t="n"/>
      <c r="I875" s="31" t="n"/>
      <c r="J875" s="31" t="n">
        <v>0</v>
      </c>
      <c r="K875" s="31" t="n">
        <v>0</v>
      </c>
      <c r="L875" s="31" t="n">
        <v>0</v>
      </c>
      <c r="M875" s="31" t="n">
        <v>0</v>
      </c>
      <c r="N875" s="21" t="inlineStr"/>
      <c r="O875" s="21" t="n">
        <v>2</v>
      </c>
      <c r="P875" s="21" t="inlineStr">
        <is>
          <t>NO</t>
        </is>
      </c>
      <c r="Q875" s="21" t="inlineStr">
        <is>
          <t>Poor</t>
        </is>
      </c>
      <c r="R875" s="40" t="n">
        <v>2552</v>
      </c>
      <c r="S875" s="21" t="inlineStr">
        <is>
          <t>IR5 118</t>
        </is>
      </c>
      <c r="T875" s="21" t="inlineStr">
        <is>
          <t>Poor Quality Machine Gun uses SMG Range Table. This weapon cannot be fired in Single Shot if it was fired using the Autofire Skill the previous Turn. If this weapon was fired in Single Shot on the previous Turn, treat it</t>
        </is>
      </c>
    </row>
    <row r="876">
      <c r="A876" s="21" t="inlineStr">
        <is>
          <t>Biosculpting (Standard)</t>
        </is>
      </c>
      <c r="B876" s="21" t="inlineStr">
        <is>
          <t>Услуги и жильё</t>
        </is>
      </c>
      <c r="C876" s="21" t="inlineStr">
        <is>
          <t>Medical</t>
        </is>
      </c>
      <c r="D876" s="21" t="inlineStr"/>
      <c r="E876" s="21" t="inlineStr"/>
      <c r="F876" s="31" t="n"/>
      <c r="G876" s="31" t="n"/>
      <c r="H876" s="31" t="n"/>
      <c r="I876" s="31" t="n"/>
      <c r="J876" s="31" t="n">
        <v>0</v>
      </c>
      <c r="K876" s="31" t="n">
        <v>0</v>
      </c>
      <c r="L876" s="31" t="n">
        <v>0</v>
      </c>
      <c r="M876" s="31" t="n">
        <v>0</v>
      </c>
      <c r="N876" s="21" t="inlineStr"/>
      <c r="O876" s="21" t="inlineStr"/>
      <c r="P876" s="21" t="inlineStr"/>
      <c r="Q876" s="21" t="inlineStr"/>
      <c r="R876" s="40" t="n">
        <v>500</v>
      </c>
      <c r="S876" s="21" t="inlineStr">
        <is>
          <t>CP:R 227</t>
        </is>
      </c>
      <c r="T876" s="21" t="inlineStr">
        <is>
          <t>While you are in the hospital getting some work done for bullet-related injuries, why not put up a couple of EB to get a whole new look? The art of Bodysculpting has undergone a renaissance of sorts in the Time of The Re</t>
        </is>
      </c>
    </row>
    <row r="877">
      <c r="A877" s="21" t="inlineStr">
        <is>
          <t>Biosculpting (Exotic)</t>
        </is>
      </c>
      <c r="B877" s="21" t="inlineStr">
        <is>
          <t>Услуги и жильё</t>
        </is>
      </c>
      <c r="C877" s="21" t="inlineStr">
        <is>
          <t>Medical</t>
        </is>
      </c>
      <c r="D877" s="21" t="inlineStr"/>
      <c r="E877" s="21" t="inlineStr"/>
      <c r="F877" s="31" t="n"/>
      <c r="G877" s="31" t="n"/>
      <c r="H877" s="31" t="n"/>
      <c r="I877" s="31" t="n"/>
      <c r="J877" s="31" t="n">
        <v>0</v>
      </c>
      <c r="K877" s="31" t="n">
        <v>0</v>
      </c>
      <c r="L877" s="31" t="n">
        <v>0</v>
      </c>
      <c r="M877" s="31" t="n">
        <v>0</v>
      </c>
      <c r="N877" s="21" t="inlineStr"/>
      <c r="O877" s="21" t="inlineStr"/>
      <c r="P877" s="21" t="inlineStr"/>
      <c r="Q877" s="21" t="inlineStr"/>
      <c r="R877" s="40" t="n">
        <v>1000</v>
      </c>
      <c r="S877" s="21" t="inlineStr">
        <is>
          <t>CP:R 227</t>
        </is>
      </c>
      <c r="T877" s="21" t="inlineStr">
        <is>
          <t>While you are in the hospital getting some work done for bullet-related injuries, why not put up a couple of EB to get a whole new look? The art of Bodysculpting has undergone a renaissance of sorts in the Time of The Re</t>
        </is>
      </c>
    </row>
    <row r="878">
      <c r="A878" s="21" t="inlineStr">
        <is>
          <t>Found Cyberware Install (Mall)</t>
        </is>
      </c>
      <c r="B878" s="21" t="inlineStr">
        <is>
          <t>Услуги и жильё</t>
        </is>
      </c>
      <c r="C878" s="21" t="inlineStr">
        <is>
          <t>Medical</t>
        </is>
      </c>
      <c r="D878" s="21" t="inlineStr"/>
      <c r="E878" s="21" t="inlineStr"/>
      <c r="F878" s="31" t="n"/>
      <c r="G878" s="31" t="n"/>
      <c r="H878" s="31" t="n"/>
      <c r="I878" s="31" t="n"/>
      <c r="J878" s="31" t="n">
        <v>0</v>
      </c>
      <c r="K878" s="31" t="n">
        <v>0</v>
      </c>
      <c r="L878" s="31" t="n">
        <v>0</v>
      </c>
      <c r="M878" s="31" t="n">
        <v>0</v>
      </c>
      <c r="N878" s="21" t="inlineStr"/>
      <c r="O878" s="21" t="inlineStr"/>
      <c r="P878" s="21" t="inlineStr"/>
      <c r="Q878" s="21" t="inlineStr"/>
      <c r="R878" s="40" t="n">
        <v>100</v>
      </c>
      <c r="S878" s="21" t="inlineStr">
        <is>
          <t>CP:R 226</t>
        </is>
      </c>
      <c r="T878" s="21" t="inlineStr">
        <is>
          <t>Cyberware reclaimed from cadavers has resale value on the market, provided it is properly harvested. Only a Medtech is capable of harvesting cyberware (except those easily removable with an Action, like Chipware or Cyber</t>
        </is>
      </c>
    </row>
    <row r="879">
      <c r="A879" s="21" t="inlineStr">
        <is>
          <t>Found Cyberware Install (Clinic)</t>
        </is>
      </c>
      <c r="B879" s="21" t="inlineStr">
        <is>
          <t>Услуги и жильё</t>
        </is>
      </c>
      <c r="C879" s="21" t="inlineStr">
        <is>
          <t>Medical</t>
        </is>
      </c>
      <c r="D879" s="21" t="inlineStr"/>
      <c r="E879" s="21" t="inlineStr"/>
      <c r="F879" s="31" t="n"/>
      <c r="G879" s="31" t="n"/>
      <c r="H879" s="31" t="n"/>
      <c r="I879" s="31" t="n"/>
      <c r="J879" s="31" t="n">
        <v>0</v>
      </c>
      <c r="K879" s="31" t="n">
        <v>0</v>
      </c>
      <c r="L879" s="31" t="n">
        <v>0</v>
      </c>
      <c r="M879" s="31" t="n">
        <v>0</v>
      </c>
      <c r="N879" s="21" t="inlineStr"/>
      <c r="O879" s="21" t="inlineStr"/>
      <c r="P879" s="21" t="inlineStr"/>
      <c r="Q879" s="21" t="inlineStr"/>
      <c r="R879" s="40" t="n">
        <v>500</v>
      </c>
      <c r="S879" s="21" t="inlineStr">
        <is>
          <t>CP:R 226</t>
        </is>
      </c>
      <c r="T879" s="21" t="inlineStr">
        <is>
          <t>Cyberware reclaimed from cadavers has resale value on the market, provided it is properly harvested. Only a Medtech is capable of harvesting cyberware (except those easily removable with an Action, like Chipware or Cyber</t>
        </is>
      </c>
    </row>
    <row r="880">
      <c r="A880" s="21" t="inlineStr">
        <is>
          <t>Found Cyberware Install (Hospital)</t>
        </is>
      </c>
      <c r="B880" s="21" t="inlineStr">
        <is>
          <t>Услуги и жильё</t>
        </is>
      </c>
      <c r="C880" s="21" t="inlineStr">
        <is>
          <t>Medical</t>
        </is>
      </c>
      <c r="D880" s="21" t="inlineStr"/>
      <c r="E880" s="21" t="inlineStr"/>
      <c r="F880" s="31" t="n"/>
      <c r="G880" s="31" t="n"/>
      <c r="H880" s="31" t="n"/>
      <c r="I880" s="31" t="n"/>
      <c r="J880" s="31" t="n">
        <v>0</v>
      </c>
      <c r="K880" s="31" t="n">
        <v>0</v>
      </c>
      <c r="L880" s="31" t="n">
        <v>0</v>
      </c>
      <c r="M880" s="31" t="n">
        <v>0</v>
      </c>
      <c r="N880" s="21" t="inlineStr"/>
      <c r="O880" s="21" t="inlineStr"/>
      <c r="P880" s="21" t="inlineStr"/>
      <c r="Q880" s="21" t="inlineStr"/>
      <c r="R880" s="40" t="n">
        <v>1000</v>
      </c>
      <c r="S880" s="21" t="inlineStr">
        <is>
          <t>CP:R 226</t>
        </is>
      </c>
      <c r="T880" s="21" t="inlineStr">
        <is>
          <t>Cyberware reclaimed from cadavers has resale value on the market, provided it is properly harvested. Only a Medtech is capable of harvesting cyberware (except those easily removable with an Action, like Chipware or Cyber</t>
        </is>
      </c>
    </row>
    <row r="881">
      <c r="A881" s="21" t="inlineStr">
        <is>
          <t>Hospital Treatment (DV10)</t>
        </is>
      </c>
      <c r="B881" s="21" t="inlineStr">
        <is>
          <t>Услуги и жильё</t>
        </is>
      </c>
      <c r="C881" s="21" t="inlineStr">
        <is>
          <t>Medical</t>
        </is>
      </c>
      <c r="D881" s="21" t="inlineStr"/>
      <c r="E881" s="21" t="inlineStr"/>
      <c r="F881" s="31" t="n"/>
      <c r="G881" s="31" t="n"/>
      <c r="H881" s="31" t="n"/>
      <c r="I881" s="31" t="n"/>
      <c r="J881" s="31" t="n">
        <v>0</v>
      </c>
      <c r="K881" s="31" t="n">
        <v>0</v>
      </c>
      <c r="L881" s="31" t="n">
        <v>0</v>
      </c>
      <c r="M881" s="31" t="n">
        <v>0</v>
      </c>
      <c r="N881" s="21" t="inlineStr"/>
      <c r="O881" s="21" t="inlineStr"/>
      <c r="P881" s="21" t="inlineStr"/>
      <c r="Q881" s="21" t="inlineStr"/>
      <c r="R881" s="40" t="n">
        <v>50</v>
      </c>
      <c r="S881" s="21" t="inlineStr">
        <is>
          <t>CP:R 225</t>
        </is>
      </c>
      <c r="T881" s="21" t="inlineStr">
        <is>
          <t>Advances in medicine have relegated many hospital trips to simple outpatient procedures, lasting no longer than 4 hours per Treatment required during the visit. Because of this, costs have come down significantly. When y</t>
        </is>
      </c>
    </row>
    <row r="882">
      <c r="A882" s="21" t="inlineStr">
        <is>
          <t>Hospital Treatment (DV13)</t>
        </is>
      </c>
      <c r="B882" s="21" t="inlineStr">
        <is>
          <t>Услуги и жильё</t>
        </is>
      </c>
      <c r="C882" s="21" t="inlineStr">
        <is>
          <t>Medical</t>
        </is>
      </c>
      <c r="D882" s="21" t="inlineStr"/>
      <c r="E882" s="21" t="inlineStr"/>
      <c r="F882" s="31" t="n"/>
      <c r="G882" s="31" t="n"/>
      <c r="H882" s="31" t="n"/>
      <c r="I882" s="31" t="n"/>
      <c r="J882" s="31" t="n">
        <v>0</v>
      </c>
      <c r="K882" s="31" t="n">
        <v>0</v>
      </c>
      <c r="L882" s="31" t="n">
        <v>0</v>
      </c>
      <c r="M882" s="31" t="n">
        <v>0</v>
      </c>
      <c r="N882" s="21" t="inlineStr"/>
      <c r="O882" s="21" t="inlineStr"/>
      <c r="P882" s="21" t="inlineStr"/>
      <c r="Q882" s="21" t="inlineStr"/>
      <c r="R882" s="40" t="n">
        <v>100</v>
      </c>
      <c r="S882" s="21" t="inlineStr">
        <is>
          <t>CP:R 225</t>
        </is>
      </c>
      <c r="T882" s="21" t="inlineStr">
        <is>
          <t>Advances in medicine have relegated many hospital trips to simple outpatient procedures, lasting no longer than 4 hours per Treatment required during the visit. Because of this, costs have come down significantly. When y</t>
        </is>
      </c>
    </row>
    <row r="883">
      <c r="A883" s="21" t="inlineStr">
        <is>
          <t>Hospital Treatment (DV15)</t>
        </is>
      </c>
      <c r="B883" s="21" t="inlineStr">
        <is>
          <t>Услуги и жильё</t>
        </is>
      </c>
      <c r="C883" s="21" t="inlineStr">
        <is>
          <t>Medical</t>
        </is>
      </c>
      <c r="D883" s="21" t="inlineStr"/>
      <c r="E883" s="21" t="inlineStr"/>
      <c r="F883" s="31" t="n"/>
      <c r="G883" s="31" t="n"/>
      <c r="H883" s="31" t="n"/>
      <c r="I883" s="31" t="n"/>
      <c r="J883" s="31" t="n">
        <v>0</v>
      </c>
      <c r="K883" s="31" t="n">
        <v>0</v>
      </c>
      <c r="L883" s="31" t="n">
        <v>0</v>
      </c>
      <c r="M883" s="31" t="n">
        <v>0</v>
      </c>
      <c r="N883" s="21" t="inlineStr"/>
      <c r="O883" s="21" t="inlineStr"/>
      <c r="P883" s="21" t="inlineStr"/>
      <c r="Q883" s="21" t="inlineStr"/>
      <c r="R883" s="40" t="n">
        <v>500</v>
      </c>
      <c r="S883" s="21" t="inlineStr">
        <is>
          <t>CP:R 225</t>
        </is>
      </c>
      <c r="T883" s="21" t="inlineStr">
        <is>
          <t>Advances in medicine have relegated many hospital trips to simple outpatient procedures, lasting no longer than 4 hours per Treatment required during the visit. Because of this, costs have come down significantly. When y</t>
        </is>
      </c>
    </row>
    <row r="884">
      <c r="A884" s="21" t="inlineStr">
        <is>
          <t>Hospital Treatment (DV17+)</t>
        </is>
      </c>
      <c r="B884" s="21" t="inlineStr">
        <is>
          <t>Услуги и жильё</t>
        </is>
      </c>
      <c r="C884" s="21" t="inlineStr">
        <is>
          <t>Medical</t>
        </is>
      </c>
      <c r="D884" s="21" t="inlineStr"/>
      <c r="E884" s="21" t="inlineStr"/>
      <c r="F884" s="31" t="n"/>
      <c r="G884" s="31" t="n"/>
      <c r="H884" s="31" t="n"/>
      <c r="I884" s="31" t="n"/>
      <c r="J884" s="31" t="n">
        <v>0</v>
      </c>
      <c r="K884" s="31" t="n">
        <v>0</v>
      </c>
      <c r="L884" s="31" t="n">
        <v>0</v>
      </c>
      <c r="M884" s="31" t="n">
        <v>0</v>
      </c>
      <c r="N884" s="21" t="inlineStr"/>
      <c r="O884" s="21" t="inlineStr"/>
      <c r="P884" s="21" t="inlineStr"/>
      <c r="Q884" s="21" t="inlineStr"/>
      <c r="R884" s="40" t="n">
        <v>1000</v>
      </c>
      <c r="S884" s="21" t="inlineStr">
        <is>
          <t>CP:R 225</t>
        </is>
      </c>
      <c r="T884" s="21" t="inlineStr">
        <is>
          <t>Advances in medicine have relegated many hospital trips to simple outpatient procedures, lasting no longer than 4 hours per Treatment required during the visit. Because of this, costs have come down significantly. When y</t>
        </is>
      </c>
    </row>
    <row r="885">
      <c r="A885" s="21" t="inlineStr">
        <is>
          <t>Therapy (Addiction)</t>
        </is>
      </c>
      <c r="B885" s="21" t="inlineStr">
        <is>
          <t>Услуги и жильё</t>
        </is>
      </c>
      <c r="C885" s="21" t="inlineStr">
        <is>
          <t>Medical</t>
        </is>
      </c>
      <c r="D885" s="21" t="inlineStr"/>
      <c r="E885" s="21" t="inlineStr"/>
      <c r="F885" s="31" t="n"/>
      <c r="G885" s="31" t="n"/>
      <c r="H885" s="31" t="n"/>
      <c r="I885" s="31" t="n"/>
      <c r="J885" s="31" t="n">
        <v>0</v>
      </c>
      <c r="K885" s="31" t="n">
        <v>0</v>
      </c>
      <c r="L885" s="31" t="n">
        <v>0</v>
      </c>
      <c r="M885" s="31" t="n">
        <v>0</v>
      </c>
      <c r="N885" s="21" t="inlineStr"/>
      <c r="O885" s="21" t="inlineStr"/>
      <c r="P885" s="21" t="inlineStr"/>
      <c r="Q885" s="21" t="inlineStr"/>
      <c r="R885" s="40" t="n">
        <v>1000</v>
      </c>
      <c r="S885" s="21" t="inlineStr">
        <is>
          <t>CP:R 230</t>
        </is>
      </c>
      <c r="T885" s="21" t="inlineStr">
        <is>
          <t>One week of intensive psychotherapy combined with a flight of anti-addiction drugs in a safe environment. Patient is freed of one of their addictions. However, whenever they roll against the Secondary Effect of the sourc</t>
        </is>
      </c>
    </row>
    <row r="886">
      <c r="A886" s="21" t="inlineStr">
        <is>
          <t>Therapy (Standard HL)</t>
        </is>
      </c>
      <c r="B886" s="21" t="inlineStr">
        <is>
          <t>Услуги и жильё</t>
        </is>
      </c>
      <c r="C886" s="21" t="inlineStr">
        <is>
          <t>Medical</t>
        </is>
      </c>
      <c r="D886" s="21" t="inlineStr"/>
      <c r="E886" s="21" t="inlineStr"/>
      <c r="F886" s="31" t="n"/>
      <c r="G886" s="31" t="n"/>
      <c r="H886" s="31" t="n"/>
      <c r="I886" s="31" t="n"/>
      <c r="J886" s="31" t="n">
        <v>0</v>
      </c>
      <c r="K886" s="31" t="n">
        <v>0</v>
      </c>
      <c r="L886" s="31" t="n">
        <v>0</v>
      </c>
      <c r="M886" s="31" t="n">
        <v>0</v>
      </c>
      <c r="N886" s="21" t="inlineStr"/>
      <c r="O886" s="21" t="inlineStr"/>
      <c r="P886" s="21" t="inlineStr"/>
      <c r="Q886" s="21" t="inlineStr"/>
      <c r="R886" s="40" t="n">
        <v>500</v>
      </c>
      <c r="S886" s="21" t="inlineStr">
        <is>
          <t>CP:R 230</t>
        </is>
      </c>
      <c r="T886" s="21" t="inlineStr">
        <is>
          <t>One week of intensive psychotherapy combining stress and anger management counseling, hypnosis, and minor direct brain reprogramming, aided by pharmaceuticals, and a safe environment which may be induced by therapeutic b</t>
        </is>
      </c>
    </row>
    <row r="887">
      <c r="A887" s="21" t="inlineStr">
        <is>
          <t>Therapy (Extreme HL)</t>
        </is>
      </c>
      <c r="B887" s="21" t="inlineStr">
        <is>
          <t>Услуги и жильё</t>
        </is>
      </c>
      <c r="C887" s="21" t="inlineStr">
        <is>
          <t>Medical</t>
        </is>
      </c>
      <c r="D887" s="21" t="inlineStr"/>
      <c r="E887" s="21" t="inlineStr"/>
      <c r="F887" s="31" t="n"/>
      <c r="G887" s="31" t="n"/>
      <c r="H887" s="31" t="n"/>
      <c r="I887" s="31" t="n"/>
      <c r="J887" s="31" t="n">
        <v>0</v>
      </c>
      <c r="K887" s="31" t="n">
        <v>0</v>
      </c>
      <c r="L887" s="31" t="n">
        <v>0</v>
      </c>
      <c r="M887" s="31" t="n">
        <v>0</v>
      </c>
      <c r="N887" s="21" t="inlineStr"/>
      <c r="O887" s="21" t="inlineStr"/>
      <c r="P887" s="21" t="inlineStr"/>
      <c r="Q887" s="21" t="inlineStr"/>
      <c r="R887" s="40" t="n">
        <v>1000</v>
      </c>
      <c r="S887" s="21" t="inlineStr">
        <is>
          <t>CP:R 230</t>
        </is>
      </c>
      <c r="T887" s="21" t="inlineStr">
        <is>
          <t>One week of intensive psychotherapy, and sessions focused on direct and extreme brain reprogramming, only made possible by state-of-the-art pharmaceuticals and a safe environment which may be induced by therapeutic brain</t>
        </is>
      </c>
    </row>
    <row r="888">
      <c r="A888" s="21" t="inlineStr">
        <is>
          <t>Trauma Team (Silver)</t>
        </is>
      </c>
      <c r="B888" s="21" t="inlineStr">
        <is>
          <t>Услуги и жильё</t>
        </is>
      </c>
      <c r="C888" s="21" t="inlineStr">
        <is>
          <t>Medical</t>
        </is>
      </c>
      <c r="D888" s="21" t="inlineStr"/>
      <c r="E888" s="21" t="inlineStr"/>
      <c r="F888" s="31" t="n"/>
      <c r="G888" s="31" t="n"/>
      <c r="H888" s="31" t="n"/>
      <c r="I888" s="31" t="n"/>
      <c r="J888" s="31" t="n">
        <v>0</v>
      </c>
      <c r="K888" s="31" t="n">
        <v>0</v>
      </c>
      <c r="L888" s="31" t="n">
        <v>0</v>
      </c>
      <c r="M888" s="31" t="n">
        <v>0</v>
      </c>
      <c r="N888" s="21" t="inlineStr"/>
      <c r="O888" s="21" t="inlineStr"/>
      <c r="P888" s="21" t="inlineStr"/>
      <c r="Q888" s="21" t="inlineStr"/>
      <c r="R888" s="40" t="n">
        <v>500</v>
      </c>
      <c r="S888" s="21" t="inlineStr">
        <is>
          <t>CP:R 376</t>
        </is>
      </c>
      <c r="T888" s="21" t="inlineStr">
        <is>
          <t>Silver members are charged for Treatments requiring Surgery equal to the cost that they would be charged at the Hospital. If the member doesn't want to pay extra for these Treatments, the Trauma Team will do everything p</t>
        </is>
      </c>
    </row>
    <row r="889">
      <c r="A889" s="21" t="inlineStr">
        <is>
          <t>Trauma Team (Executive)</t>
        </is>
      </c>
      <c r="B889" s="21" t="inlineStr">
        <is>
          <t>Услуги и жильё</t>
        </is>
      </c>
      <c r="C889" s="21" t="inlineStr">
        <is>
          <t>Medical</t>
        </is>
      </c>
      <c r="D889" s="21" t="inlineStr"/>
      <c r="E889" s="21" t="inlineStr"/>
      <c r="F889" s="31" t="n"/>
      <c r="G889" s="31" t="n"/>
      <c r="H889" s="31" t="n"/>
      <c r="I889" s="31" t="n"/>
      <c r="J889" s="31" t="n">
        <v>0</v>
      </c>
      <c r="K889" s="31" t="n">
        <v>0</v>
      </c>
      <c r="L889" s="31" t="n">
        <v>0</v>
      </c>
      <c r="M889" s="31" t="n">
        <v>0</v>
      </c>
      <c r="N889" s="21" t="inlineStr"/>
      <c r="O889" s="21" t="inlineStr"/>
      <c r="P889" s="21" t="inlineStr"/>
      <c r="Q889" s="21" t="inlineStr"/>
      <c r="R889" s="40" t="n">
        <v>1000</v>
      </c>
      <c r="S889" s="21" t="inlineStr">
        <is>
          <t>CP:R 376</t>
        </is>
      </c>
      <c r="T889" s="21" t="inlineStr">
        <is>
          <t>Executive coverage includes Treatments requiring Surgery at no extra cost. Both plans are transferable on a 1-1 basis meaning you can use your coverage to help one of your friends without coverage, but not for two friend</t>
        </is>
      </c>
    </row>
    <row r="890">
      <c r="A890" s="21" t="inlineStr">
        <is>
          <t>Medium Melee Weapon</t>
        </is>
      </c>
      <c r="B890" s="21" t="inlineStr">
        <is>
          <t>Ближний бой</t>
        </is>
      </c>
      <c r="C890" s="21" t="inlineStr">
        <is>
          <t>Medium Melee Weapon</t>
        </is>
      </c>
      <c r="D890" s="21" t="inlineStr">
        <is>
          <t>Melee Weapon</t>
        </is>
      </c>
      <c r="E890" s="21" t="inlineStr">
        <is>
          <t>2d6</t>
        </is>
      </c>
      <c r="F890" s="31" t="n">
        <v>2</v>
      </c>
      <c r="G890" s="31" t="n"/>
      <c r="H890" s="31" t="n"/>
      <c r="I890" s="31" t="n"/>
      <c r="J890" s="31" t="n">
        <v>0</v>
      </c>
      <c r="K890" s="31" t="n">
        <v>0</v>
      </c>
      <c r="L890" s="31" t="n">
        <v>0</v>
      </c>
      <c r="M890" s="31" t="n">
        <v>0</v>
      </c>
      <c r="N890" s="21" t="inlineStr"/>
      <c r="O890" s="21" t="inlineStr"/>
      <c r="P890" s="21" t="inlineStr">
        <is>
          <t>NO</t>
        </is>
      </c>
      <c r="Q890" s="21" t="inlineStr"/>
      <c r="R890" s="40" t="n">
        <v>50</v>
      </c>
      <c r="S890" s="21" t="inlineStr">
        <is>
          <t>CP:R 340</t>
        </is>
      </c>
      <c r="T890" s="21" t="inlineStr">
        <is>
          <t>Generic Medium Melee Weapon. Can be flavored as any that is not listed here. Example: Baseball Bat, Crowbar, Machete</t>
        </is>
      </c>
    </row>
    <row r="891">
      <c r="A891" s="21" t="inlineStr">
        <is>
          <t>Faisal’s Magna Knuckles</t>
        </is>
      </c>
      <c r="B891" s="21" t="inlineStr">
        <is>
          <t>Ближний бой</t>
        </is>
      </c>
      <c r="C891" s="21" t="inlineStr">
        <is>
          <t>Medium Melee Weapon</t>
        </is>
      </c>
      <c r="D891" s="21" t="inlineStr">
        <is>
          <t>Melee Weapon</t>
        </is>
      </c>
      <c r="E891" s="21" t="inlineStr">
        <is>
          <t>2d6</t>
        </is>
      </c>
      <c r="F891" s="31" t="n">
        <v>2</v>
      </c>
      <c r="G891" s="31" t="n"/>
      <c r="H891" s="31" t="n"/>
      <c r="I891" s="31" t="n"/>
      <c r="J891" s="31" t="n">
        <v>0</v>
      </c>
      <c r="K891" s="31" t="n">
        <v>0</v>
      </c>
      <c r="L891" s="31" t="n">
        <v>0</v>
      </c>
      <c r="M891" s="31" t="n">
        <v>0</v>
      </c>
      <c r="N891" s="21" t="inlineStr"/>
      <c r="O891" s="21" t="inlineStr"/>
      <c r="P891" s="21" t="inlineStr">
        <is>
          <t>NO</t>
        </is>
      </c>
      <c r="Q891" s="21" t="inlineStr"/>
      <c r="R891" s="40" t="n">
        <v>1000</v>
      </c>
      <c r="S891" s="21" t="inlineStr">
        <is>
          <t>BC 96</t>
        </is>
      </c>
      <c r="T891" s="21" t="inlineStr">
        <is>
          <t>Faisal's Magna Knuckles are a pair of electrified knuckledusters. It causes someone hit by it with both shots to have 2 pieces of their Cyberware become temporarily disabled.</t>
        </is>
      </c>
    </row>
    <row r="892">
      <c r="A892" s="21" t="inlineStr">
        <is>
          <t>Hello Cutie Thundercat Bat</t>
        </is>
      </c>
      <c r="B892" s="21" t="inlineStr">
        <is>
          <t>Ближний бой</t>
        </is>
      </c>
      <c r="C892" s="21" t="inlineStr">
        <is>
          <t>Medium Melee Weapon</t>
        </is>
      </c>
      <c r="D892" s="21" t="inlineStr">
        <is>
          <t>Melee Weapon</t>
        </is>
      </c>
      <c r="E892" s="21" t="inlineStr">
        <is>
          <t>2d6</t>
        </is>
      </c>
      <c r="F892" s="31" t="n">
        <v>2</v>
      </c>
      <c r="G892" s="31" t="n"/>
      <c r="H892" s="31" t="n"/>
      <c r="I892" s="31" t="n"/>
      <c r="J892" s="31" t="n">
        <v>0</v>
      </c>
      <c r="K892" s="31" t="n">
        <v>0</v>
      </c>
      <c r="L892" s="31" t="n">
        <v>0</v>
      </c>
      <c r="M892" s="31" t="n">
        <v>0</v>
      </c>
      <c r="N892" s="21" t="inlineStr"/>
      <c r="O892" s="21" t="inlineStr"/>
      <c r="P892" s="21" t="inlineStr">
        <is>
          <t>NO</t>
        </is>
      </c>
      <c r="Q892" s="21" t="inlineStr"/>
      <c r="R892" s="40" t="n">
        <v>750</v>
      </c>
      <c r="S892" s="21" t="inlineStr">
        <is>
          <t>DL:12Cute 6</t>
        </is>
      </c>
      <c r="T892" s="21" t="inlineStr">
        <is>
          <t>Stun Baton that plays the deafening sound of Japanese FBC baseballer Mashi Suzuki's game-winning hit from the All-Japan Championship of 2043. Both the wielder and the person hit by it must beat a DV15 Resist Torture/Drug</t>
        </is>
      </c>
    </row>
    <row r="893">
      <c r="A893" s="21" t="inlineStr">
        <is>
          <t>IMI Chainknife</t>
        </is>
      </c>
      <c r="B893" s="21" t="inlineStr">
        <is>
          <t>Ближний бой</t>
        </is>
      </c>
      <c r="C893" s="21" t="inlineStr">
        <is>
          <t>Medium Melee Weapon</t>
        </is>
      </c>
      <c r="D893" s="21" t="inlineStr">
        <is>
          <t>Melee Weapon</t>
        </is>
      </c>
      <c r="E893" s="21" t="inlineStr">
        <is>
          <t>2d6/4</t>
        </is>
      </c>
      <c r="F893" s="31" t="n">
        <v>1</v>
      </c>
      <c r="G893" s="31" t="n"/>
      <c r="H893" s="31" t="n"/>
      <c r="I893" s="31" t="n"/>
      <c r="J893" s="31" t="n">
        <v>0</v>
      </c>
      <c r="K893" s="31" t="n">
        <v>0</v>
      </c>
      <c r="L893" s="31" t="n">
        <v>0</v>
      </c>
      <c r="M893" s="31" t="n">
        <v>0</v>
      </c>
      <c r="N893" s="21" t="inlineStr"/>
      <c r="O893" s="21" t="inlineStr"/>
      <c r="P893" s="21" t="inlineStr">
        <is>
          <t>NO</t>
        </is>
      </c>
      <c r="Q893" s="21" t="inlineStr"/>
      <c r="R893" s="40" t="n">
        <v>500</v>
      </c>
      <c r="S893" s="21" t="inlineStr">
        <is>
          <t>DL:12Gun 3 · DGD 144</t>
        </is>
      </c>
      <c r="T893" s="21" t="inlineStr">
        <is>
          <t>This weapon is an exotic One-Handed Medium Melee Weapon with ROF1. With an Action, the user can rev the weapon and it will remain so till stowed, dropped, or revved down with another Action. While revved up, the weapon b</t>
        </is>
      </c>
    </row>
    <row r="894">
      <c r="A894" s="21" t="inlineStr">
        <is>
          <t>Kendachi Mono-Star</t>
        </is>
      </c>
      <c r="B894" s="21" t="inlineStr">
        <is>
          <t>Ближний бой</t>
        </is>
      </c>
      <c r="C894" s="21" t="inlineStr">
        <is>
          <t>Medium Melee Weapon</t>
        </is>
      </c>
      <c r="D894" s="21" t="inlineStr">
        <is>
          <t>Melee Weapon</t>
        </is>
      </c>
      <c r="E894" s="21" t="inlineStr">
        <is>
          <t>2d6</t>
        </is>
      </c>
      <c r="F894" s="31" t="n">
        <v>46055</v>
      </c>
      <c r="G894" s="31" t="n"/>
      <c r="H894" s="31" t="n"/>
      <c r="I894" s="31" t="n"/>
      <c r="J894" s="31" t="n">
        <v>0</v>
      </c>
      <c r="K894" s="31" t="n">
        <v>0</v>
      </c>
      <c r="L894" s="31" t="n">
        <v>0</v>
      </c>
      <c r="M894" s="31" t="n">
        <v>0</v>
      </c>
      <c r="N894" s="21" t="inlineStr"/>
      <c r="O894" s="21" t="inlineStr"/>
      <c r="P894" s="21" t="inlineStr">
        <is>
          <t>NO</t>
        </is>
      </c>
      <c r="Q894" s="21" t="inlineStr"/>
      <c r="R894" s="40" t="n">
        <v>500</v>
      </c>
      <c r="S894" s="21" t="inlineStr">
        <is>
          <t>BC 101</t>
        </is>
      </c>
      <c r="T894" s="21" t="inlineStr">
        <is>
          <t>Kendachi Mono-Stars are shurikens that rapidly vibrate when thrown. Unlike other Melee Weapons, it continues to halve SP when thrown and counts as one of its ROF. When it causes the Foreign Object Critical Injury, it als</t>
        </is>
      </c>
    </row>
    <row r="895">
      <c r="A895" s="21" t="inlineStr">
        <is>
          <t>Pursuit Security Bouncer</t>
        </is>
      </c>
      <c r="B895" s="21" t="inlineStr">
        <is>
          <t>Ближний бой</t>
        </is>
      </c>
      <c r="C895" s="21" t="inlineStr">
        <is>
          <t>Medium Melee Weapon</t>
        </is>
      </c>
      <c r="D895" s="21" t="inlineStr">
        <is>
          <t>Melee Weapon</t>
        </is>
      </c>
      <c r="E895" s="21" t="inlineStr">
        <is>
          <t>2d6</t>
        </is>
      </c>
      <c r="F895" s="31" t="n">
        <v>46024</v>
      </c>
      <c r="G895" s="31" t="n"/>
      <c r="H895" s="31" t="n"/>
      <c r="I895" s="31" t="n"/>
      <c r="J895" s="31" t="n">
        <v>0</v>
      </c>
      <c r="K895" s="31" t="n">
        <v>0</v>
      </c>
      <c r="L895" s="31" t="n">
        <v>0</v>
      </c>
      <c r="M895" s="31" t="n">
        <v>0</v>
      </c>
      <c r="N895" s="21" t="inlineStr"/>
      <c r="O895" s="21" t="inlineStr"/>
      <c r="P895" s="21" t="inlineStr">
        <is>
          <t>NO</t>
        </is>
      </c>
      <c r="Q895" s="21" t="inlineStr"/>
      <c r="R895" s="40" t="n">
        <v>500</v>
      </c>
      <c r="S895" s="21" t="inlineStr">
        <is>
          <t>BC 97</t>
        </is>
      </c>
      <c r="T895" s="21" t="inlineStr">
        <is>
          <t>A glove that is equipped with a pop-out Stun Baton and a Microwaver. Using both takes a charge from its 8-charge battery pack, which takes 1 hour to recharge. Donning and removing the Bouncer is an Action, and while it i</t>
        </is>
      </c>
    </row>
    <row r="896">
      <c r="A896" s="21" t="inlineStr">
        <is>
          <t>SlamDance FangFist</t>
        </is>
      </c>
      <c r="B896" s="21" t="inlineStr">
        <is>
          <t>Ближний бой</t>
        </is>
      </c>
      <c r="C896" s="21" t="inlineStr">
        <is>
          <t>Medium Melee Weapon</t>
        </is>
      </c>
      <c r="D896" s="21" t="inlineStr">
        <is>
          <t>Melee Weapon</t>
        </is>
      </c>
      <c r="E896" s="21" t="inlineStr">
        <is>
          <t>2d6/4</t>
        </is>
      </c>
      <c r="F896" s="31" t="n">
        <v>46024</v>
      </c>
      <c r="G896" s="31" t="n"/>
      <c r="H896" s="31" t="n"/>
      <c r="I896" s="31" t="n"/>
      <c r="J896" s="31" t="n">
        <v>0</v>
      </c>
      <c r="K896" s="31" t="n">
        <v>0</v>
      </c>
      <c r="L896" s="31" t="n">
        <v>0</v>
      </c>
      <c r="M896" s="31" t="n">
        <v>0</v>
      </c>
      <c r="N896" s="21" t="inlineStr"/>
      <c r="O896" s="21" t="inlineStr"/>
      <c r="P896" s="21" t="inlineStr">
        <is>
          <t>NO</t>
        </is>
      </c>
      <c r="Q896" s="21" t="inlineStr"/>
      <c r="R896" s="40" t="n">
        <v>1000</v>
      </c>
      <c r="S896" s="21" t="inlineStr">
        <is>
          <t>BC 98</t>
        </is>
      </c>
      <c r="T896" s="21" t="inlineStr">
        <is>
          <t>The Slamdance FangFist is a tactical glove equipped with a spring-loaded knife, which is a Medium Melee Weapon that has the force of a Very Heavy Melee Weapon on the turn which it is first sprung out. While it is worn, a</t>
        </is>
      </c>
    </row>
    <row r="897">
      <c r="A897" s="21" t="inlineStr">
        <is>
          <t>Stun Baton</t>
        </is>
      </c>
      <c r="B897" s="21" t="inlineStr">
        <is>
          <t>Ближний бой</t>
        </is>
      </c>
      <c r="C897" s="21" t="inlineStr">
        <is>
          <t>Medium Melee Weapon</t>
        </is>
      </c>
      <c r="D897" s="21" t="inlineStr">
        <is>
          <t>Melee Weapon</t>
        </is>
      </c>
      <c r="E897" s="21" t="inlineStr">
        <is>
          <t>2d6</t>
        </is>
      </c>
      <c r="F897" s="31" t="n">
        <v>2</v>
      </c>
      <c r="G897" s="31" t="n"/>
      <c r="H897" s="31" t="n"/>
      <c r="I897" s="31" t="n"/>
      <c r="J897" s="31" t="n">
        <v>0</v>
      </c>
      <c r="K897" s="31" t="n">
        <v>0</v>
      </c>
      <c r="L897" s="31" t="n">
        <v>0</v>
      </c>
      <c r="M897" s="31" t="n">
        <v>0</v>
      </c>
      <c r="N897" s="21" t="inlineStr"/>
      <c r="O897" s="21" t="inlineStr"/>
      <c r="P897" s="21" t="inlineStr">
        <is>
          <t>NO</t>
        </is>
      </c>
      <c r="Q897" s="21" t="inlineStr"/>
      <c r="R897" s="40" t="n">
        <v>100</v>
      </c>
      <c r="S897" s="21" t="inlineStr">
        <is>
          <t>CP:R 349</t>
        </is>
      </c>
      <c r="T897" s="21" t="inlineStr">
        <is>
          <t>The Stun Baton is a one-handed medium melee weapon that cannot kill or fatally wound a person</t>
        </is>
      </c>
    </row>
    <row r="898">
      <c r="A898" s="21" t="inlineStr">
        <is>
          <t>White Hornet Tanto</t>
        </is>
      </c>
      <c r="B898" s="21" t="inlineStr">
        <is>
          <t>Ближний бой</t>
        </is>
      </c>
      <c r="C898" s="21" t="inlineStr">
        <is>
          <t>Medium Melee Weapon</t>
        </is>
      </c>
      <c r="D898" s="21" t="inlineStr">
        <is>
          <t>Melee Weapon</t>
        </is>
      </c>
      <c r="E898" s="21" t="inlineStr">
        <is>
          <t>2d6</t>
        </is>
      </c>
      <c r="F898" s="31" t="n">
        <v>2</v>
      </c>
      <c r="G898" s="31" t="n"/>
      <c r="H898" s="31" t="n"/>
      <c r="I898" s="31" t="n"/>
      <c r="J898" s="31" t="n">
        <v>0</v>
      </c>
      <c r="K898" s="31" t="n">
        <v>0</v>
      </c>
      <c r="L898" s="31" t="n">
        <v>0</v>
      </c>
      <c r="M898" s="31" t="n">
        <v>0</v>
      </c>
      <c r="N898" s="21" t="inlineStr"/>
      <c r="O898" s="21" t="inlineStr"/>
      <c r="P898" s="21" t="inlineStr">
        <is>
          <t>YES</t>
        </is>
      </c>
      <c r="Q898" s="21" t="inlineStr"/>
      <c r="R898" s="40" t="n">
        <v>500</v>
      </c>
      <c r="S898" s="21" t="inlineStr">
        <is>
          <t>BC 93</t>
        </is>
      </c>
      <c r="T898" s="21" t="inlineStr">
        <is>
          <t>The White Hornet Tanto is a knife which uses a solar-powered battery to send electricity through anyone stabbed with it. If the user chooses, it can be made to be unable to fully kill a person</t>
        </is>
      </c>
    </row>
    <row r="899">
      <c r="A899" s="21" t="inlineStr">
        <is>
          <t>Medium Pistol</t>
        </is>
      </c>
      <c r="B899" s="21" t="inlineStr">
        <is>
          <t>Огнестрельное оружие</t>
        </is>
      </c>
      <c r="C899" s="21" t="inlineStr">
        <is>
          <t>Medium Pistol</t>
        </is>
      </c>
      <c r="D899" s="21" t="inlineStr">
        <is>
          <t>Handgun</t>
        </is>
      </c>
      <c r="E899" s="21" t="inlineStr">
        <is>
          <t>2d6</t>
        </is>
      </c>
      <c r="F899" s="31" t="n">
        <v>2</v>
      </c>
      <c r="G899" s="31" t="n">
        <v>12</v>
      </c>
      <c r="H899" s="31" t="n"/>
      <c r="I899" s="31" t="n"/>
      <c r="J899" s="31" t="n">
        <v>0</v>
      </c>
      <c r="K899" s="31" t="n">
        <v>0</v>
      </c>
      <c r="L899" s="31" t="n">
        <v>0</v>
      </c>
      <c r="M899" s="31" t="n">
        <v>0</v>
      </c>
      <c r="N899" s="21" t="inlineStr"/>
      <c r="O899" s="21" t="n">
        <v>1</v>
      </c>
      <c r="P899" s="21" t="inlineStr">
        <is>
          <t>YES</t>
        </is>
      </c>
      <c r="Q899" s="21" t="inlineStr">
        <is>
          <t>Standard</t>
        </is>
      </c>
      <c r="R899" s="40" t="n">
        <v>50</v>
      </c>
      <c r="S899" s="21" t="inlineStr">
        <is>
          <t>CP:R 341</t>
        </is>
      </c>
      <c r="T899" s="21" t="inlineStr">
        <is>
          <t>Generic Medium Pistol. Can be flavored as any that is not listed here.</t>
        </is>
      </c>
    </row>
    <row r="900">
      <c r="A900" s="21" t="inlineStr">
        <is>
          <t>Dai Lung Streetmaster</t>
        </is>
      </c>
      <c r="B900" s="21" t="inlineStr">
        <is>
          <t>Огнестрельное оружие</t>
        </is>
      </c>
      <c r="C900" s="21" t="inlineStr">
        <is>
          <t>Medium Pistol</t>
        </is>
      </c>
      <c r="D900" s="21" t="inlineStr">
        <is>
          <t>Handgun</t>
        </is>
      </c>
      <c r="E900" s="21" t="inlineStr">
        <is>
          <t>2d6</t>
        </is>
      </c>
      <c r="F900" s="31" t="n">
        <v>2</v>
      </c>
      <c r="G900" s="31" t="n">
        <v>12</v>
      </c>
      <c r="H900" s="31" t="n"/>
      <c r="I900" s="31" t="n"/>
      <c r="J900" s="31" t="n">
        <v>0</v>
      </c>
      <c r="K900" s="31" t="n">
        <v>0</v>
      </c>
      <c r="L900" s="31" t="n">
        <v>0</v>
      </c>
      <c r="M900" s="31" t="n">
        <v>0</v>
      </c>
      <c r="N900" s="21" t="inlineStr"/>
      <c r="O900" s="21" t="n">
        <v>1</v>
      </c>
      <c r="P900" s="21" t="inlineStr">
        <is>
          <t>YES</t>
        </is>
      </c>
      <c r="Q900" s="21" t="inlineStr">
        <is>
          <t>Poor</t>
        </is>
      </c>
      <c r="R900" s="40" t="n">
        <v>20</v>
      </c>
      <c r="S900" s="21" t="inlineStr">
        <is>
          <t>CP:R 342 · DL:TT 3 · IR5 37</t>
        </is>
      </c>
      <c r="T900" s="21" t="inlineStr">
        <is>
          <t>The ultimate in cheap guns, available in vendits and bodegas everywhere. Modeled (loosely) after Towa’s Type-12. A Poor Quality Medium Pistol.</t>
        </is>
      </c>
    </row>
    <row r="901">
      <c r="A901" s="21" t="inlineStr">
        <is>
          <t>Federated Arms X-9mm</t>
        </is>
      </c>
      <c r="B901" s="21" t="inlineStr">
        <is>
          <t>Огнестрельное оружие</t>
        </is>
      </c>
      <c r="C901" s="21" t="inlineStr">
        <is>
          <t>Medium Pistol</t>
        </is>
      </c>
      <c r="D901" s="21" t="inlineStr">
        <is>
          <t>Handgun</t>
        </is>
      </c>
      <c r="E901" s="21" t="inlineStr">
        <is>
          <t>2d6</t>
        </is>
      </c>
      <c r="F901" s="31" t="n">
        <v>2</v>
      </c>
      <c r="G901" s="31" t="n">
        <v>12</v>
      </c>
      <c r="H901" s="31" t="n"/>
      <c r="I901" s="31" t="n"/>
      <c r="J901" s="31" t="n">
        <v>0</v>
      </c>
      <c r="K901" s="31" t="n">
        <v>0</v>
      </c>
      <c r="L901" s="31" t="n">
        <v>0</v>
      </c>
      <c r="M901" s="31" t="n">
        <v>0</v>
      </c>
      <c r="N901" s="21" t="inlineStr"/>
      <c r="O901" s="21" t="n">
        <v>1</v>
      </c>
      <c r="P901" s="21" t="inlineStr">
        <is>
          <t>YES</t>
        </is>
      </c>
      <c r="Q901" s="21" t="inlineStr">
        <is>
          <t>Standard</t>
        </is>
      </c>
      <c r="R901" s="40" t="n">
        <v>50</v>
      </c>
      <c r="S901" s="21" t="inlineStr">
        <is>
          <t>CP:R 342 · DL:TT 3 · IR5 37</t>
        </is>
      </c>
      <c r="T901" s="21" t="inlineStr">
        <is>
          <t>A sturdy gun used as a backup firearm by professionals across North America. It fits perfectly in an ankle holster. A Standard Quality Medium Pistol.</t>
        </is>
      </c>
    </row>
    <row r="902">
      <c r="A902" s="21" t="inlineStr">
        <is>
          <t>Militech Avenger</t>
        </is>
      </c>
      <c r="B902" s="21" t="inlineStr">
        <is>
          <t>Огнестрельное оружие</t>
        </is>
      </c>
      <c r="C902" s="21" t="inlineStr">
        <is>
          <t>Medium Pistol</t>
        </is>
      </c>
      <c r="D902" s="21" t="inlineStr">
        <is>
          <t>Handgun</t>
        </is>
      </c>
      <c r="E902" s="21" t="inlineStr">
        <is>
          <t>2d6</t>
        </is>
      </c>
      <c r="F902" s="31" t="n">
        <v>2</v>
      </c>
      <c r="G902" s="31" t="n">
        <v>12</v>
      </c>
      <c r="H902" s="31" t="n"/>
      <c r="I902" s="31" t="n"/>
      <c r="J902" s="31" t="n">
        <v>0</v>
      </c>
      <c r="K902" s="31" t="n">
        <v>0</v>
      </c>
      <c r="L902" s="31" t="n">
        <v>0</v>
      </c>
      <c r="M902" s="31" t="n">
        <v>0</v>
      </c>
      <c r="N902" s="21" t="inlineStr"/>
      <c r="O902" s="21" t="n">
        <v>1</v>
      </c>
      <c r="P902" s="21" t="inlineStr">
        <is>
          <t>YES</t>
        </is>
      </c>
      <c r="Q902" s="21" t="inlineStr">
        <is>
          <t>Excellent</t>
        </is>
      </c>
      <c r="R902" s="40" t="n">
        <v>100</v>
      </c>
      <c r="S902" s="21" t="inlineStr">
        <is>
          <t>CP:R 342 · DL:TT 4 · IR5 38</t>
        </is>
      </c>
      <c r="T902" s="21" t="inlineStr">
        <is>
          <t>A solid, excellently engineered sidearm with a proven history. It remains in use in the US military, where it is primarily assigned to rear-area officers. An Excellent Quality Medium Pistol</t>
        </is>
      </c>
    </row>
    <row r="903">
      <c r="A903" s="21" t="inlineStr">
        <is>
          <t>Air Pistol</t>
        </is>
      </c>
      <c r="B903" s="21" t="inlineStr">
        <is>
          <t>Огнестрельное оружие</t>
        </is>
      </c>
      <c r="C903" s="21" t="inlineStr">
        <is>
          <t>Medium Pistol</t>
        </is>
      </c>
      <c r="D903" s="21" t="inlineStr">
        <is>
          <t>Handgun</t>
        </is>
      </c>
      <c r="E903" s="21" t="inlineStr">
        <is>
          <t>0.0</t>
        </is>
      </c>
      <c r="F903" s="31" t="n">
        <v>2</v>
      </c>
      <c r="G903" s="31" t="n">
        <v>12</v>
      </c>
      <c r="H903" s="31" t="n"/>
      <c r="I903" s="31" t="n"/>
      <c r="J903" s="31" t="n">
        <v>0</v>
      </c>
      <c r="K903" s="31" t="n">
        <v>0</v>
      </c>
      <c r="L903" s="31" t="n">
        <v>0</v>
      </c>
      <c r="M903" s="31" t="n">
        <v>0</v>
      </c>
      <c r="N903" s="21" t="inlineStr"/>
      <c r="O903" s="21" t="n">
        <v>1</v>
      </c>
      <c r="P903" s="21" t="inlineStr">
        <is>
          <t>YES</t>
        </is>
      </c>
      <c r="Q903" s="21" t="inlineStr">
        <is>
          <t>Standard</t>
        </is>
      </c>
      <c r="R903" s="40" t="n">
        <v>100</v>
      </c>
      <c r="S903" s="21" t="inlineStr">
        <is>
          <t>CP:R 347</t>
        </is>
      </c>
      <c r="T903" s="21" t="inlineStr">
        <is>
          <t xml:space="preserve">An Exotic Medium Pistol. Fires paint balls, which are typically filled with aint, and thus deal no damage. If you filled the paint balls with Acid however, each Acid Paintball still deals no damage, but lowers the SP of </t>
        </is>
      </c>
    </row>
    <row r="904">
      <c r="A904" s="21" t="inlineStr">
        <is>
          <t>Duel Caster</t>
        </is>
      </c>
      <c r="B904" s="21" t="inlineStr">
        <is>
          <t>Огнестрельное оружие</t>
        </is>
      </c>
      <c r="C904" s="21" t="inlineStr">
        <is>
          <t>Medium Pistol</t>
        </is>
      </c>
      <c r="D904" s="21" t="inlineStr">
        <is>
          <t>Handgun</t>
        </is>
      </c>
      <c r="E904" s="21" t="inlineStr">
        <is>
          <t>1d6</t>
        </is>
      </c>
      <c r="F904" s="31" t="n">
        <v>3</v>
      </c>
      <c r="G904" s="31" t="n">
        <v>26</v>
      </c>
      <c r="H904" s="31" t="n"/>
      <c r="I904" s="31" t="n"/>
      <c r="J904" s="31" t="n">
        <v>0</v>
      </c>
      <c r="K904" s="31" t="n">
        <v>0</v>
      </c>
      <c r="L904" s="31" t="n">
        <v>0</v>
      </c>
      <c r="M904" s="31" t="n">
        <v>0</v>
      </c>
      <c r="N904" s="21" t="inlineStr"/>
      <c r="O904" s="21" t="n">
        <v>1</v>
      </c>
      <c r="P904" s="21" t="inlineStr">
        <is>
          <t>NO</t>
        </is>
      </c>
      <c r="Q904" s="21" t="inlineStr">
        <is>
          <t>Standard</t>
        </is>
      </c>
      <c r="R904" s="40" t="n">
        <v>100</v>
      </c>
      <c r="S904" s="21" t="inlineStr">
        <is>
          <t>DL:ElfTCG 9 · IR3 73</t>
        </is>
      </c>
      <c r="T904" s="21" t="inlineStr">
        <is>
          <t>A bulky winged triangular plastic housing for your Elflines Online TCG Deck, with an included revving trigger and a pair of very overactive flywheels with which to fling your cards onto (and sometimes into) the table. An</t>
        </is>
      </c>
    </row>
    <row r="905">
      <c r="A905" s="21" t="inlineStr">
        <is>
          <t>Faisal’s Escape Plan</t>
        </is>
      </c>
      <c r="B905" s="21" t="inlineStr">
        <is>
          <t>Огнестрельное оружие</t>
        </is>
      </c>
      <c r="C905" s="21" t="inlineStr">
        <is>
          <t>Medium Pistol</t>
        </is>
      </c>
      <c r="D905" s="21" t="inlineStr">
        <is>
          <t>Handgun</t>
        </is>
      </c>
      <c r="E905" s="21" t="inlineStr">
        <is>
          <t>2d6</t>
        </is>
      </c>
      <c r="F905" s="31" t="n">
        <v>2</v>
      </c>
      <c r="G905" s="31" t="n">
        <v>12</v>
      </c>
      <c r="H905" s="31" t="n"/>
      <c r="I905" s="31" t="n"/>
      <c r="J905" s="31" t="n">
        <v>0</v>
      </c>
      <c r="K905" s="31" t="n">
        <v>0</v>
      </c>
      <c r="L905" s="31" t="n">
        <v>0</v>
      </c>
      <c r="M905" s="31" t="n">
        <v>0</v>
      </c>
      <c r="N905" s="21" t="inlineStr"/>
      <c r="O905" s="21" t="n">
        <v>1</v>
      </c>
      <c r="P905" s="21" t="inlineStr">
        <is>
          <t>YES</t>
        </is>
      </c>
      <c r="Q905" s="21" t="inlineStr">
        <is>
          <t>Poor</t>
        </is>
      </c>
      <c r="R905" s="40" t="n">
        <v>60</v>
      </c>
      <c r="S905" s="21" t="inlineStr">
        <is>
          <t>DL:TT 3</t>
        </is>
      </c>
      <c r="T905" s="21" t="inlineStr">
        <is>
          <t>Sometimes, fighting isn’t the answer, and sometimes, it is. This weapon is for both of those times. A Poor Quality Medium Pistol. It comes with a tab that can be pulled without an Action. After the tab is pulled, the Esc</t>
        </is>
      </c>
    </row>
    <row r="906">
      <c r="A906" s="21" t="inlineStr">
        <is>
          <t>Hello Cutie ModBall Gun</t>
        </is>
      </c>
      <c r="B906" s="21" t="inlineStr">
        <is>
          <t>Огнестрельное оружие</t>
        </is>
      </c>
      <c r="C906" s="21" t="inlineStr">
        <is>
          <t>Medium Pistol</t>
        </is>
      </c>
      <c r="D906" s="21" t="inlineStr">
        <is>
          <t>Handgun</t>
        </is>
      </c>
      <c r="E906" s="21" t="inlineStr">
        <is>
          <t>Varies</t>
        </is>
      </c>
      <c r="F906" s="31" t="n">
        <v>2</v>
      </c>
      <c r="G906" s="31" t="n">
        <v>5</v>
      </c>
      <c r="H906" s="31" t="n"/>
      <c r="I906" s="31" t="n"/>
      <c r="J906" s="31" t="n">
        <v>0</v>
      </c>
      <c r="K906" s="31" t="n">
        <v>0</v>
      </c>
      <c r="L906" s="31" t="n">
        <v>0</v>
      </c>
      <c r="M906" s="31" t="n">
        <v>0</v>
      </c>
      <c r="N906" s="21" t="inlineStr"/>
      <c r="O906" s="21" t="n">
        <v>1</v>
      </c>
      <c r="P906" s="21" t="inlineStr">
        <is>
          <t>YES</t>
        </is>
      </c>
      <c r="Q906" s="21" t="inlineStr">
        <is>
          <t>Standard</t>
        </is>
      </c>
      <c r="R906" s="40" t="n">
        <v>500</v>
      </c>
      <c r="S906" s="21" t="inlineStr">
        <is>
          <t>DL:12Cute 5</t>
        </is>
      </c>
      <c r="T906" s="21" t="inlineStr">
        <is>
          <t>When Sanroo employees complained about attending the company’s dull annual paintball game, the Hello Cutie weaponeers went to work and created a new gun to spice the match up! The result is the ModBall Gun, an adorable r</t>
        </is>
      </c>
    </row>
    <row r="907">
      <c r="A907" s="21" t="inlineStr">
        <is>
          <t>Micro Cutie by Hello Cutie</t>
        </is>
      </c>
      <c r="B907" s="21" t="inlineStr">
        <is>
          <t>Огнестрельное оружие</t>
        </is>
      </c>
      <c r="C907" s="21" t="inlineStr">
        <is>
          <t>Medium Pistol</t>
        </is>
      </c>
      <c r="D907" s="21" t="inlineStr">
        <is>
          <t>Handgun</t>
        </is>
      </c>
      <c r="E907" s="21" t="inlineStr">
        <is>
          <t>2d6</t>
        </is>
      </c>
      <c r="F907" s="31" t="n">
        <v>2</v>
      </c>
      <c r="G907" s="31" t="n">
        <v>10</v>
      </c>
      <c r="H907" s="31" t="n"/>
      <c r="I907" s="31" t="n"/>
      <c r="J907" s="31" t="n">
        <v>0</v>
      </c>
      <c r="K907" s="31" t="n">
        <v>0</v>
      </c>
      <c r="L907" s="31" t="n">
        <v>0</v>
      </c>
      <c r="M907" s="31" t="n">
        <v>0</v>
      </c>
      <c r="N907" s="21" t="inlineStr"/>
      <c r="O907" s="21" t="n">
        <v>1</v>
      </c>
      <c r="P907" s="21" t="inlineStr">
        <is>
          <t>YES</t>
        </is>
      </c>
      <c r="Q907" s="21" t="inlineStr">
        <is>
          <t>Excellent</t>
        </is>
      </c>
      <c r="R907" s="40" t="n">
        <v>1000</v>
      </c>
      <c r="S907" s="21" t="inlineStr">
        <is>
          <t>MC 1 · DGD 145</t>
        </is>
      </c>
      <c r="T907" s="21" t="inlineStr">
        <is>
          <t>An Excellent Quality Exotic Medium Pistol with a magazine size of 10. As an Action you can activate or deactivate Hypurrburst™. While in Hypurrburst™, the MicroCutie is ROF1, purrs audibly, and deals 4d6 damage but drain</t>
        </is>
      </c>
    </row>
    <row r="908">
      <c r="A908" s="21" t="inlineStr">
        <is>
          <t>Nomad .357 Magnum</t>
        </is>
      </c>
      <c r="B908" s="21" t="inlineStr">
        <is>
          <t>Огнестрельное оружие</t>
        </is>
      </c>
      <c r="C908" s="21" t="inlineStr">
        <is>
          <t>Medium Pistol</t>
        </is>
      </c>
      <c r="D908" s="21" t="inlineStr">
        <is>
          <t>Handgun</t>
        </is>
      </c>
      <c r="E908" s="21" t="inlineStr">
        <is>
          <t>2d6</t>
        </is>
      </c>
      <c r="F908" s="31" t="n">
        <v>2</v>
      </c>
      <c r="G908" s="31" t="n">
        <v>18</v>
      </c>
      <c r="H908" s="31" t="n"/>
      <c r="I908" s="31" t="n"/>
      <c r="J908" s="31" t="n">
        <v>0</v>
      </c>
      <c r="K908" s="31" t="n">
        <v>0</v>
      </c>
      <c r="L908" s="31" t="n">
        <v>0</v>
      </c>
      <c r="M908" s="31" t="n">
        <v>0</v>
      </c>
      <c r="N908" s="21" t="inlineStr"/>
      <c r="O908" s="21" t="n">
        <v>1</v>
      </c>
      <c r="P908" s="21" t="inlineStr">
        <is>
          <t>YES</t>
        </is>
      </c>
      <c r="Q908" s="21" t="inlineStr">
        <is>
          <t>Standard</t>
        </is>
      </c>
      <c r="R908" s="40" t="n">
        <v>150</v>
      </c>
      <c r="S908" s="21" t="inlineStr">
        <is>
          <t>DL:TT 4 · IR5 38</t>
        </is>
      </c>
      <c r="T908" s="21" t="inlineStr">
        <is>
          <t>Sturdy and user-friendly, each .357 Magum is lovingly hand-crafted by nomad weaponsmiths and comes in a variety of form factors. Commonly found in the glove compartments of nomad vehicles. A Standard Quality Medium Pisto</t>
        </is>
      </c>
    </row>
    <row r="909">
      <c r="A909" s="21" t="inlineStr">
        <is>
          <t>PS E-TACK Rapid Responder</t>
        </is>
      </c>
      <c r="B909" s="21" t="inlineStr">
        <is>
          <t>Огнестрельное оружие</t>
        </is>
      </c>
      <c r="C909" s="21" t="inlineStr">
        <is>
          <t>Medium Pistol</t>
        </is>
      </c>
      <c r="D909" s="21" t="inlineStr">
        <is>
          <t>Handgun</t>
        </is>
      </c>
      <c r="E909" s="21" t="inlineStr">
        <is>
          <t>2d6/3</t>
        </is>
      </c>
      <c r="F909" s="31" t="n">
        <v>2</v>
      </c>
      <c r="G909" s="31" t="n">
        <v>18</v>
      </c>
      <c r="H909" s="31" t="n"/>
      <c r="I909" s="31" t="n"/>
      <c r="J909" s="31" t="n">
        <v>0</v>
      </c>
      <c r="K909" s="31" t="n">
        <v>0</v>
      </c>
      <c r="L909" s="31" t="n">
        <v>0</v>
      </c>
      <c r="M909" s="31" t="n">
        <v>0</v>
      </c>
      <c r="N909" s="21" t="inlineStr"/>
      <c r="O909" s="21" t="n">
        <v>1</v>
      </c>
      <c r="P909" s="21" t="inlineStr">
        <is>
          <t>YES</t>
        </is>
      </c>
      <c r="Q909" s="21" t="inlineStr">
        <is>
          <t>Poor</t>
        </is>
      </c>
      <c r="R909" s="40" t="n">
        <v>500</v>
      </c>
      <c r="S909" s="21" t="inlineStr">
        <is>
          <t>DL:12RED 3 · IR5 99</t>
        </is>
      </c>
      <c r="T909" s="21" t="inlineStr">
        <is>
          <t>The best defense is a good offense — and no firearm is more offensive than the E-TACK Rapid Responder. Light, easily concealed, and absolutely deadly, no other handgun offers protection like this. When seconds matter, do</t>
        </is>
      </c>
    </row>
    <row r="910">
      <c r="A910" s="21" t="inlineStr">
        <is>
          <t>Towa Type-12 Police Pistol</t>
        </is>
      </c>
      <c r="B910" s="21" t="inlineStr">
        <is>
          <t>Огнестрельное оружие</t>
        </is>
      </c>
      <c r="C910" s="21" t="inlineStr">
        <is>
          <t>Medium Pistol</t>
        </is>
      </c>
      <c r="D910" s="21" t="inlineStr">
        <is>
          <t>Handgun</t>
        </is>
      </c>
      <c r="E910" s="21" t="inlineStr">
        <is>
          <t>2d6</t>
        </is>
      </c>
      <c r="F910" s="31" t="n">
        <v>2</v>
      </c>
      <c r="G910" s="31" t="n">
        <v>6</v>
      </c>
      <c r="H910" s="31" t="n"/>
      <c r="I910" s="31" t="n"/>
      <c r="J910" s="31" t="n">
        <v>0</v>
      </c>
      <c r="K910" s="31" t="n">
        <v>0</v>
      </c>
      <c r="L910" s="31" t="n">
        <v>0</v>
      </c>
      <c r="M910" s="31" t="n">
        <v>0</v>
      </c>
      <c r="N910" s="21" t="inlineStr"/>
      <c r="O910" s="21" t="n">
        <v>1</v>
      </c>
      <c r="P910" s="21" t="inlineStr">
        <is>
          <t>YES</t>
        </is>
      </c>
      <c r="Q910" s="21" t="inlineStr">
        <is>
          <t>Excellent</t>
        </is>
      </c>
      <c r="R910" s="40" t="n">
        <v>550</v>
      </c>
      <c r="S910" s="21" t="inlineStr">
        <is>
          <t>DL:TT 4 · IR5 38</t>
        </is>
      </c>
      <c r="T910" s="21" t="inlineStr">
        <is>
          <t>In the late 2010s, Towa won the contract to arm beat cops in Tokyo. Surprisingly, their engineers produced a high-quality revolver with an integrated smartlink instead of the company’s usual low-effort knockoffs. An Exce</t>
        </is>
      </c>
    </row>
    <row r="911">
      <c r="A911" s="21" t="inlineStr">
        <is>
          <t>Bodyweight Suit (Нэтраннинг: железо)</t>
        </is>
      </c>
      <c r="B911" s="21" t="inlineStr">
        <is>
          <t>Нэтраннинг: железо</t>
        </is>
      </c>
      <c r="C911" s="21" t="inlineStr">
        <is>
          <t>Netrunner Accessories</t>
        </is>
      </c>
      <c r="D911" s="21" t="inlineStr"/>
      <c r="E911" s="21" t="inlineStr"/>
      <c r="F911" s="31" t="n"/>
      <c r="G911" s="31" t="n"/>
      <c r="H911" s="31" t="n"/>
      <c r="I911" s="31" t="n"/>
      <c r="J911" s="31" t="n">
        <v>0</v>
      </c>
      <c r="K911" s="31" t="n">
        <v>0</v>
      </c>
      <c r="L911" s="31" t="n">
        <v>0</v>
      </c>
      <c r="M911" s="31" t="n">
        <v>0</v>
      </c>
      <c r="N911" s="21" t="inlineStr"/>
      <c r="O911" s="21" t="inlineStr"/>
      <c r="P911" s="21" t="inlineStr"/>
      <c r="Q911" s="21" t="inlineStr"/>
      <c r="R911" s="40" t="n">
        <v>1000</v>
      </c>
      <c r="S911" s="21" t="inlineStr">
        <is>
          <t>CP:R 350</t>
        </is>
      </c>
      <c r="T911" s="21" t="inlineStr">
        <is>
          <t>Skinsuit with impact absorbing, sintered armorgel layered in key body areas. Surprisingly, they are also breathable and quite comfortable. Besides giving you a measure of protection, a Bodyweight Suit also has a place to</t>
        </is>
      </c>
    </row>
    <row r="912">
      <c r="A912" s="21" t="inlineStr">
        <is>
          <t>Cyberdeck, Integrated (Нэтраннинг: железо)</t>
        </is>
      </c>
      <c r="B912" s="21" t="inlineStr">
        <is>
          <t>Нэтраннинг: железо</t>
        </is>
      </c>
      <c r="C912" s="21" t="inlineStr">
        <is>
          <t>Netrunner Accessories</t>
        </is>
      </c>
      <c r="D912" s="21" t="inlineStr"/>
      <c r="E912" s="21" t="inlineStr"/>
      <c r="F912" s="31" t="n"/>
      <c r="G912" s="31" t="n"/>
      <c r="H912" s="31" t="n"/>
      <c r="I912" s="31" t="n"/>
      <c r="J912" s="31" t="n">
        <v>0</v>
      </c>
      <c r="K912" s="31" t="n">
        <v>0</v>
      </c>
      <c r="L912" s="31" t="n">
        <v>0</v>
      </c>
      <c r="M912" s="31" t="n">
        <v>0</v>
      </c>
      <c r="N912" s="21" t="inlineStr"/>
      <c r="O912" s="21" t="inlineStr"/>
      <c r="P912" s="21" t="inlineStr"/>
      <c r="Q912" s="21" t="inlineStr"/>
      <c r="R912" s="40" t="n">
        <v>500</v>
      </c>
      <c r="S912" s="21" t="inlineStr">
        <is>
          <t>CP:R 364</t>
        </is>
      </c>
      <c r="T912" s="21" t="inlineStr">
        <is>
          <t>Cyberarm Option. Cyberdeck permanently installed into the user's Cyberarm. A Cyberdeck must be provided by the user at the time of installation. In addition to never accidentally misplacing your Cyberdeck, integration in</t>
        </is>
      </c>
    </row>
    <row r="913">
      <c r="A913" s="21" t="inlineStr">
        <is>
          <t>Integrated Cyberdeck Upgrade (Нэтраннинг: железо)</t>
        </is>
      </c>
      <c r="B913" s="21" t="inlineStr">
        <is>
          <t>Нэтраннинг: железо</t>
        </is>
      </c>
      <c r="C913" s="21" t="inlineStr">
        <is>
          <t>Netrunner Accessories</t>
        </is>
      </c>
      <c r="D913" s="21" t="inlineStr"/>
      <c r="E913" s="21" t="inlineStr"/>
      <c r="F913" s="31" t="n"/>
      <c r="G913" s="31" t="n"/>
      <c r="H913" s="31" t="n"/>
      <c r="I913" s="31" t="n"/>
      <c r="J913" s="31" t="n">
        <v>0</v>
      </c>
      <c r="K913" s="31" t="n">
        <v>0</v>
      </c>
      <c r="L913" s="31" t="n">
        <v>0</v>
      </c>
      <c r="M913" s="31" t="n">
        <v>0</v>
      </c>
      <c r="N913" s="21" t="inlineStr"/>
      <c r="O913" s="21" t="inlineStr"/>
      <c r="P913" s="21" t="inlineStr"/>
      <c r="Q913" s="21" t="inlineStr"/>
      <c r="R913" s="40" t="n">
        <v>500</v>
      </c>
      <c r="S913" s="21" t="inlineStr">
        <is>
          <t>BC 19</t>
        </is>
      </c>
      <c r="T913" s="21" t="inlineStr">
        <is>
          <t>Didn’t have enough oomph to ace the NET Architecture on your last Netrun? Add an extra slot to your arm’s Cyberdeck and it won’t happen again. Cyberarm Option. Upgrades a user’s already Cyberarm-integrated Cyberdeck with</t>
        </is>
      </c>
    </row>
    <row r="914">
      <c r="A914" s="21" t="inlineStr">
        <is>
          <t>Lotos Netsuit (Нэтраннинг: железо)</t>
        </is>
      </c>
      <c r="B914" s="21" t="inlineStr">
        <is>
          <t>Нэтраннинг: железо</t>
        </is>
      </c>
      <c r="C914" s="21" t="inlineStr">
        <is>
          <t>Netrunner Accessories</t>
        </is>
      </c>
      <c r="D914" s="21" t="inlineStr"/>
      <c r="E914" s="21" t="inlineStr"/>
      <c r="F914" s="31" t="n"/>
      <c r="G914" s="31" t="n"/>
      <c r="H914" s="31" t="n"/>
      <c r="I914" s="31" t="n"/>
      <c r="J914" s="31" t="n">
        <v>0</v>
      </c>
      <c r="K914" s="31" t="n">
        <v>0</v>
      </c>
      <c r="L914" s="31" t="n">
        <v>0</v>
      </c>
      <c r="M914" s="31" t="n">
        <v>0</v>
      </c>
      <c r="N914" s="21" t="inlineStr"/>
      <c r="O914" s="21" t="inlineStr"/>
      <c r="P914" s="21" t="inlineStr"/>
      <c r="Q914" s="21" t="inlineStr"/>
      <c r="R914" s="40" t="n">
        <v>5000</v>
      </c>
      <c r="S914" s="21" t="inlineStr">
        <is>
          <t>BC 31</t>
        </is>
      </c>
      <c r="T914" s="21" t="inlineStr">
        <is>
          <t>Wearing a Lotos Netsuit gives your Cyberdeck 1 extra slot (stored on the suit instead of the Cyberdeck) that can only be used for Hardware. When you take off the Netsuit, Hardware on the suit is automatically uninstalled</t>
        </is>
      </c>
    </row>
    <row r="915">
      <c r="A915" s="21" t="inlineStr">
        <is>
          <t>Virtuality Goggles (Нэтраннинг: железо)</t>
        </is>
      </c>
      <c r="B915" s="21" t="inlineStr">
        <is>
          <t>Нэтраннинг: железо</t>
        </is>
      </c>
      <c r="C915" s="21" t="inlineStr">
        <is>
          <t>Netrunner Accessories</t>
        </is>
      </c>
      <c r="D915" s="21" t="inlineStr"/>
      <c r="E915" s="21" t="inlineStr"/>
      <c r="F915" s="31" t="n"/>
      <c r="G915" s="31" t="n"/>
      <c r="H915" s="31" t="n"/>
      <c r="I915" s="31" t="n"/>
      <c r="J915" s="31" t="n">
        <v>0</v>
      </c>
      <c r="K915" s="31" t="n">
        <v>0</v>
      </c>
      <c r="L915" s="31" t="n">
        <v>0</v>
      </c>
      <c r="M915" s="31" t="n">
        <v>0</v>
      </c>
      <c r="N915" s="21" t="inlineStr"/>
      <c r="O915" s="21" t="inlineStr"/>
      <c r="P915" s="21" t="inlineStr"/>
      <c r="Q915" s="21" t="inlineStr"/>
      <c r="R915" s="40" t="n">
        <v>100</v>
      </c>
      <c r="S915" s="21" t="inlineStr">
        <is>
          <t>CP:R 355</t>
        </is>
      </c>
      <c r="T915" s="21" t="inlineStr">
        <is>
          <t>Headset that projects cyberspace imagery over your view of the world around you. Highly advised for Netrunners. See Netrunning Section on pg. 195 for more info.</t>
        </is>
      </c>
    </row>
    <row r="916">
      <c r="A916" s="21" t="inlineStr">
        <is>
          <t>Zetatech CyberConductor</t>
        </is>
      </c>
      <c r="B916" s="21" t="inlineStr">
        <is>
          <t>Нэтраннинг: железо</t>
        </is>
      </c>
      <c r="C916" s="21" t="inlineStr">
        <is>
          <t>Netrunner Accessories</t>
        </is>
      </c>
      <c r="D916" s="21" t="inlineStr"/>
      <c r="E916" s="21" t="inlineStr"/>
      <c r="F916" s="31" t="n"/>
      <c r="G916" s="31" t="n"/>
      <c r="H916" s="31" t="n"/>
      <c r="I916" s="31" t="n"/>
      <c r="J916" s="31" t="n">
        <v>0</v>
      </c>
      <c r="K916" s="31" t="n">
        <v>0</v>
      </c>
      <c r="L916" s="31" t="n">
        <v>0</v>
      </c>
      <c r="M916" s="31" t="n">
        <v>0</v>
      </c>
      <c r="N916" s="21" t="inlineStr"/>
      <c r="O916" s="21" t="inlineStr"/>
      <c r="P916" s="21" t="inlineStr"/>
      <c r="Q916" s="21" t="inlineStr"/>
      <c r="R916" s="40" t="n">
        <v>1000</v>
      </c>
      <c r="S916" s="21" t="inlineStr">
        <is>
          <t>DL:12RED 5 · IR5 101</t>
        </is>
      </c>
      <c r="T916" s="21" t="inlineStr">
        <is>
          <t>Borgware. Internal Body Cyberware. Requires 3 Option Slots. May only be installed in a Full Body Conversion. An integrated Zetatech CyberConductor is installed in the FBC’s body. In addition to giving the FBC access to a</t>
        </is>
      </c>
    </row>
    <row r="917">
      <c r="A917" s="21" t="inlineStr">
        <is>
          <t>Neuroport</t>
        </is>
      </c>
      <c r="B917" s="21" t="inlineStr">
        <is>
          <t>Кибернетика</t>
        </is>
      </c>
      <c r="C917" s="21" t="inlineStr">
        <is>
          <t>Neuralware</t>
        </is>
      </c>
      <c r="D917" s="21" t="inlineStr"/>
      <c r="E917" s="21" t="inlineStr"/>
      <c r="F917" s="31" t="n"/>
      <c r="G917" s="31" t="n"/>
      <c r="H917" s="31" t="n"/>
      <c r="I917" s="31" t="n"/>
      <c r="J917" s="31" t="n">
        <v>0</v>
      </c>
      <c r="K917" s="31" t="n">
        <v>0</v>
      </c>
      <c r="L917" s="31" t="n">
        <v>0</v>
      </c>
      <c r="M917" s="31" t="n">
        <v>7</v>
      </c>
      <c r="N917" s="21" t="inlineStr">
        <is>
          <t>Hospital</t>
        </is>
      </c>
      <c r="O917" s="21" t="inlineStr"/>
      <c r="P917" s="21" t="inlineStr"/>
      <c r="Q917" s="21" t="inlineStr"/>
      <c r="R917" s="40" t="n">
        <v>1000</v>
      </c>
      <c r="S917" s="21" t="inlineStr">
        <is>
          <t>CEMK 35</t>
        </is>
      </c>
      <c r="T917" s="21" t="inlineStr">
        <is>
          <t>A modern marvel, the Neuroport is a cyberware control package loaded with extras, ranging from a holophone to a HUD display. The Neuroport is considered so safe and unobtrusive that most children are fitted with one. Lea</t>
        </is>
      </c>
    </row>
    <row r="918">
      <c r="A918" s="21" t="inlineStr">
        <is>
          <t>Budget Chipware Socket</t>
        </is>
      </c>
      <c r="B918" s="21" t="inlineStr">
        <is>
          <t>Кибернетика</t>
        </is>
      </c>
      <c r="C918" s="21" t="inlineStr">
        <is>
          <t>Neuralware</t>
        </is>
      </c>
      <c r="D918" s="21" t="inlineStr"/>
      <c r="E918" s="21" t="inlineStr"/>
      <c r="F918" s="31" t="n"/>
      <c r="G918" s="31" t="n"/>
      <c r="H918" s="31" t="n"/>
      <c r="I918" s="31" t="n"/>
      <c r="J918" s="31" t="n">
        <v>0</v>
      </c>
      <c r="K918" s="31" t="n">
        <v>0</v>
      </c>
      <c r="L918" s="31" t="n">
        <v>0</v>
      </c>
      <c r="M918" s="31" t="n">
        <v>7</v>
      </c>
      <c r="N918" s="21" t="inlineStr">
        <is>
          <t>Clinic</t>
        </is>
      </c>
      <c r="O918" s="21" t="inlineStr"/>
      <c r="P918" s="21" t="inlineStr"/>
      <c r="Q918" s="21" t="inlineStr"/>
      <c r="R918" s="40" t="n">
        <v>100</v>
      </c>
      <c r="S918" s="21" t="inlineStr">
        <is>
          <t>BC 17</t>
        </is>
      </c>
      <c r="T918" s="21" t="inlineStr">
        <is>
          <t>Everyone needs a socket to slot Chipware in but not everyone’s willing to pay high prices for it. No problem. Here’s a Chipsocket that’s both cheap and reliable. Neuralware Option. Requires Neural Link. A single socket i</t>
        </is>
      </c>
    </row>
    <row r="919">
      <c r="A919" s="21" t="inlineStr">
        <is>
          <t>Reflex Co-Processor</t>
        </is>
      </c>
      <c r="B919" s="21" t="inlineStr">
        <is>
          <t>Кибернетика</t>
        </is>
      </c>
      <c r="C919" s="21" t="inlineStr">
        <is>
          <t>Neuralware</t>
        </is>
      </c>
      <c r="D919" s="21" t="inlineStr"/>
      <c r="E919" s="21" t="inlineStr"/>
      <c r="F919" s="31" t="n"/>
      <c r="G919" s="31" t="n"/>
      <c r="H919" s="31" t="n"/>
      <c r="I919" s="31" t="n"/>
      <c r="J919" s="31" t="n">
        <v>0</v>
      </c>
      <c r="K919" s="31" t="n">
        <v>0</v>
      </c>
      <c r="L919" s="31" t="n">
        <v>0</v>
      </c>
      <c r="M919" s="31" t="n">
        <v>14</v>
      </c>
      <c r="N919" s="21" t="inlineStr">
        <is>
          <t>Hospital</t>
        </is>
      </c>
      <c r="O919" s="21" t="inlineStr"/>
      <c r="P919" s="21" t="inlineStr"/>
      <c r="Q919" s="21" t="inlineStr"/>
      <c r="R919" s="40" t="n">
        <v>500</v>
      </c>
      <c r="S919" s="21" t="inlineStr">
        <is>
          <t>BC 21 · IR2 73 · DGD 146 · IR5 143</t>
        </is>
      </c>
      <c r="T919" s="21" t="inlineStr">
        <is>
          <t>Faster, Cyberpunk! Kill! Kill! No longer will your natural clumsiness prevent you from performing feats of impressive combat dodging prowess in a firefight! Neuralware Option. Assists the Neural Link in its processing du</t>
        </is>
      </c>
    </row>
    <row r="920">
      <c r="A920" s="21" t="inlineStr">
        <is>
          <t>Berserk Implant</t>
        </is>
      </c>
      <c r="B920" s="21" t="inlineStr">
        <is>
          <t>Кибернетика</t>
        </is>
      </c>
      <c r="C920" s="21" t="inlineStr">
        <is>
          <t>Neuralware</t>
        </is>
      </c>
      <c r="D920" s="21" t="inlineStr"/>
      <c r="E920" s="21" t="inlineStr"/>
      <c r="F920" s="31" t="n"/>
      <c r="G920" s="31" t="n"/>
      <c r="H920" s="31" t="n"/>
      <c r="I920" s="31" t="n"/>
      <c r="J920" s="31" t="n">
        <v>0</v>
      </c>
      <c r="K920" s="31" t="n">
        <v>0</v>
      </c>
      <c r="L920" s="31" t="n">
        <v>0</v>
      </c>
      <c r="M920" s="31" t="n">
        <v>7</v>
      </c>
      <c r="N920" s="21" t="inlineStr">
        <is>
          <t>Clinic</t>
        </is>
      </c>
      <c r="O920" s="21" t="inlineStr"/>
      <c r="P920" s="21" t="inlineStr"/>
      <c r="Q920" s="21" t="inlineStr"/>
      <c r="R920" s="40" t="n">
        <v>1000</v>
      </c>
      <c r="S920" s="21" t="inlineStr">
        <is>
          <t>CEMK 34</t>
        </is>
      </c>
      <c r="T920" s="21" t="inlineStr">
        <is>
          <t>Hormone regulation implant designed to improve the user’s fight or flight response. Neuralware Option. This implant induces a powerful adrenaline rush on command. When activated as an Action, the user ignores the effects</t>
        </is>
      </c>
    </row>
    <row r="921">
      <c r="A921" s="21" t="inlineStr">
        <is>
          <t>Ex-Disk</t>
        </is>
      </c>
      <c r="B921" s="21" t="inlineStr">
        <is>
          <t>Кибернетика</t>
        </is>
      </c>
      <c r="C921" s="21" t="inlineStr">
        <is>
          <t>Neuralware</t>
        </is>
      </c>
      <c r="D921" s="21" t="inlineStr"/>
      <c r="E921" s="21" t="inlineStr"/>
      <c r="F921" s="31" t="n"/>
      <c r="G921" s="31" t="n"/>
      <c r="H921" s="31" t="n"/>
      <c r="I921" s="31" t="n"/>
      <c r="J921" s="31" t="n">
        <v>0</v>
      </c>
      <c r="K921" s="31" t="n">
        <v>0</v>
      </c>
      <c r="L921" s="31" t="n">
        <v>0</v>
      </c>
      <c r="M921" s="31" t="n">
        <v>3</v>
      </c>
      <c r="N921" s="21" t="inlineStr">
        <is>
          <t>Hospital</t>
        </is>
      </c>
      <c r="O921" s="21" t="inlineStr"/>
      <c r="P921" s="21" t="inlineStr"/>
      <c r="Q921" s="21" t="inlineStr"/>
      <c r="R921" s="40" t="n">
        <v>1000</v>
      </c>
      <c r="S921" s="21" t="inlineStr">
        <is>
          <t>CEMK 35</t>
        </is>
      </c>
      <c r="T921" s="21" t="inlineStr">
        <is>
          <t>Neuralware. Requires Neuroport Cyberdeck Port. Each installation contains a Hardware-only Option Slot for Cyberdeck Hardware. All Hardware installed in a user’s Ex-Disks are considered to be installed in any Cyberdeck in</t>
        </is>
      </c>
    </row>
    <row r="922">
      <c r="A922" s="21" t="inlineStr">
        <is>
          <t>Neuroport Cyberdeck Port</t>
        </is>
      </c>
      <c r="B922" s="21" t="inlineStr">
        <is>
          <t>Кибернетика</t>
        </is>
      </c>
      <c r="C922" s="21" t="inlineStr">
        <is>
          <t>Neuralware</t>
        </is>
      </c>
      <c r="D922" s="21" t="inlineStr"/>
      <c r="E922" s="21" t="inlineStr"/>
      <c r="F922" s="31" t="n"/>
      <c r="G922" s="31" t="n"/>
      <c r="H922" s="31" t="n"/>
      <c r="I922" s="31" t="n"/>
      <c r="J922" s="31" t="n">
        <v>0</v>
      </c>
      <c r="K922" s="31" t="n">
        <v>0</v>
      </c>
      <c r="L922" s="31" t="n">
        <v>0</v>
      </c>
      <c r="M922" s="31" t="n">
        <v>3</v>
      </c>
      <c r="N922" s="21" t="inlineStr">
        <is>
          <t>Hospital</t>
        </is>
      </c>
      <c r="O922" s="21" t="inlineStr"/>
      <c r="P922" s="21" t="inlineStr"/>
      <c r="Q922" s="21" t="inlineStr"/>
      <c r="R922" s="40" t="n">
        <v>100</v>
      </c>
      <c r="S922" s="21" t="inlineStr">
        <is>
          <t>CEMK 36</t>
        </is>
      </c>
      <c r="T922" s="21" t="inlineStr">
        <is>
          <t xml:space="preserve">This neck-mounted port connects a Cyberdeck directly into the body, dramatically increasing its range. Neuralware. Requires Neuroport. An additional specialized port is installed into the back of the user’s neck for the </t>
        </is>
      </c>
    </row>
    <row r="923">
      <c r="A923" s="21" t="inlineStr">
        <is>
          <t>Self-ICE</t>
        </is>
      </c>
      <c r="B923" s="21" t="inlineStr">
        <is>
          <t>Кибернетика</t>
        </is>
      </c>
      <c r="C923" s="21" t="inlineStr">
        <is>
          <t>Neuralware</t>
        </is>
      </c>
      <c r="D923" s="21" t="inlineStr"/>
      <c r="E923" s="21" t="inlineStr"/>
      <c r="F923" s="31" t="n"/>
      <c r="G923" s="31" t="n"/>
      <c r="H923" s="31" t="n"/>
      <c r="I923" s="31" t="n"/>
      <c r="J923" s="31" t="n">
        <v>0</v>
      </c>
      <c r="K923" s="31" t="n">
        <v>0</v>
      </c>
      <c r="L923" s="31" t="n">
        <v>0</v>
      </c>
      <c r="M923" s="31" t="n">
        <v>3</v>
      </c>
      <c r="N923" s="21" t="inlineStr">
        <is>
          <t>Hospital</t>
        </is>
      </c>
      <c r="O923" s="21" t="inlineStr"/>
      <c r="P923" s="21" t="inlineStr"/>
      <c r="Q923" s="21" t="inlineStr"/>
      <c r="R923" s="40" t="n">
        <v>500</v>
      </c>
      <c r="S923" s="21" t="inlineStr">
        <is>
          <t>CEMK 36</t>
        </is>
      </c>
      <c r="T923" s="21" t="inlineStr">
        <is>
          <t>Intrusion countermeasure electronics system designed to harden the user against Quickhacks. Neuralware. With each installation (maximum 3), a single Passwall is placed into the user’s Neuroport, providing an additional l</t>
        </is>
      </c>
    </row>
    <row r="924">
      <c r="A924" s="21" t="inlineStr">
        <is>
          <t>Neural Link</t>
        </is>
      </c>
      <c r="B924" s="21" t="inlineStr">
        <is>
          <t>Кибернетика</t>
        </is>
      </c>
      <c r="C924" s="21" t="inlineStr">
        <is>
          <t>Neuralware</t>
        </is>
      </c>
      <c r="D924" s="21" t="inlineStr"/>
      <c r="E924" s="21" t="inlineStr"/>
      <c r="F924" s="31" t="n"/>
      <c r="G924" s="31" t="n"/>
      <c r="H924" s="31" t="n"/>
      <c r="I924" s="31" t="n"/>
      <c r="J924" s="31" t="n">
        <v>0</v>
      </c>
      <c r="K924" s="31" t="n">
        <v>0</v>
      </c>
      <c r="L924" s="31" t="n">
        <v>0</v>
      </c>
      <c r="M924" s="31" t="n">
        <v>7</v>
      </c>
      <c r="N924" s="21" t="inlineStr">
        <is>
          <t>Clinic</t>
        </is>
      </c>
      <c r="O924" s="21" t="inlineStr"/>
      <c r="P924" s="21" t="inlineStr"/>
      <c r="Q924" s="21" t="inlineStr"/>
      <c r="R924" s="40" t="n">
        <v>500</v>
      </c>
      <c r="S924" s="21" t="inlineStr">
        <is>
          <t>CP:R 359</t>
        </is>
      </c>
      <c r="T924" s="21" t="inlineStr">
        <is>
          <t>DEPRECATED CYBERWARE Wired artificial nervous system, required to use Neuralware, and Subdermal Grips. System has 5 Option Slots for Neuralware options.</t>
        </is>
      </c>
    </row>
    <row r="925">
      <c r="A925" s="21" t="inlineStr">
        <is>
          <t>Braindance Recorder</t>
        </is>
      </c>
      <c r="B925" s="21" t="inlineStr">
        <is>
          <t>Кибернетика</t>
        </is>
      </c>
      <c r="C925" s="21" t="inlineStr">
        <is>
          <t>Neuralware</t>
        </is>
      </c>
      <c r="D925" s="21" t="inlineStr"/>
      <c r="E925" s="21" t="inlineStr"/>
      <c r="F925" s="31" t="n"/>
      <c r="G925" s="31" t="n"/>
      <c r="H925" s="31" t="n"/>
      <c r="I925" s="31" t="n"/>
      <c r="J925" s="31" t="n">
        <v>0</v>
      </c>
      <c r="K925" s="31" t="n">
        <v>0</v>
      </c>
      <c r="L925" s="31" t="n">
        <v>0</v>
      </c>
      <c r="M925" s="31" t="n">
        <v>7</v>
      </c>
      <c r="N925" s="21" t="inlineStr">
        <is>
          <t>Clinic</t>
        </is>
      </c>
      <c r="O925" s="21" t="inlineStr"/>
      <c r="P925" s="21" t="inlineStr"/>
      <c r="Q925" s="21" t="inlineStr"/>
      <c r="R925" s="40" t="n">
        <v>500</v>
      </c>
      <c r="S925" s="21" t="inlineStr">
        <is>
          <t>CP:R 359</t>
        </is>
      </c>
      <c r="T925" s="21" t="inlineStr">
        <is>
          <t>Neuralware Option. Share your story from your point of view! Records braindance content to a standard Memory Chip or a linked Agent. Braindances can be viewed using a Braindance Viewer. Requires Neural Link.</t>
        </is>
      </c>
    </row>
    <row r="926">
      <c r="A926" s="21" t="inlineStr">
        <is>
          <t>Chipware Socket</t>
        </is>
      </c>
      <c r="B926" s="21" t="inlineStr">
        <is>
          <t>Кибернетика</t>
        </is>
      </c>
      <c r="C926" s="21" t="inlineStr">
        <is>
          <t>Neuralware</t>
        </is>
      </c>
      <c r="D926" s="21" t="inlineStr"/>
      <c r="E926" s="21" t="inlineStr"/>
      <c r="F926" s="31" t="n"/>
      <c r="G926" s="31" t="n"/>
      <c r="H926" s="31" t="n"/>
      <c r="I926" s="31" t="n"/>
      <c r="J926" s="31" t="n">
        <v>0</v>
      </c>
      <c r="K926" s="31" t="n">
        <v>0</v>
      </c>
      <c r="L926" s="31" t="n">
        <v>0</v>
      </c>
      <c r="M926" s="31" t="n">
        <v>7</v>
      </c>
      <c r="N926" s="21" t="inlineStr">
        <is>
          <t>Clinic</t>
        </is>
      </c>
      <c r="O926" s="21" t="inlineStr"/>
      <c r="P926" s="21" t="inlineStr"/>
      <c r="Q926" s="21" t="inlineStr"/>
      <c r="R926" s="40" t="n">
        <v>500</v>
      </c>
      <c r="S926" s="21" t="inlineStr">
        <is>
          <t>CP:R 359</t>
        </is>
      </c>
      <c r="T926" s="21" t="inlineStr">
        <is>
          <t xml:space="preserve">Neuralware Option. A single socket installed in the back of the neck that allows quick installation of a single piece of Chipware, of which there are many varieties. Installing or uninstalling a single piece of Chipware </t>
        </is>
      </c>
    </row>
    <row r="927">
      <c r="A927" s="21" t="inlineStr">
        <is>
          <t>Interface Plugs</t>
        </is>
      </c>
      <c r="B927" s="21" t="inlineStr">
        <is>
          <t>Кибернетика</t>
        </is>
      </c>
      <c r="C927" s="21" t="inlineStr">
        <is>
          <t>Neuralware</t>
        </is>
      </c>
      <c r="D927" s="21" t="inlineStr"/>
      <c r="E927" s="21" t="inlineStr"/>
      <c r="F927" s="31" t="n"/>
      <c r="G927" s="31" t="n"/>
      <c r="H927" s="31" t="n"/>
      <c r="I927" s="31" t="n"/>
      <c r="J927" s="31" t="n">
        <v>0</v>
      </c>
      <c r="K927" s="31" t="n">
        <v>0</v>
      </c>
      <c r="L927" s="31" t="n">
        <v>0</v>
      </c>
      <c r="M927" s="31" t="n">
        <v>7</v>
      </c>
      <c r="N927" s="21" t="inlineStr">
        <is>
          <t>Clinic</t>
        </is>
      </c>
      <c r="O927" s="21" t="inlineStr"/>
      <c r="P927" s="21" t="inlineStr"/>
      <c r="Q927" s="21" t="inlineStr"/>
      <c r="R927" s="40" t="n">
        <v>500</v>
      </c>
      <c r="S927" s="21" t="inlineStr">
        <is>
          <t>CP:R 359</t>
        </is>
      </c>
      <c r="T927" s="21" t="inlineStr">
        <is>
          <t>Neuralware Option. Plugs in the wrist or head that allow user to jack into and make use of Smartguns, Cyberdecks, heavy machinery, and drive vehicles with no hands! Multiple installations allow user to be plugged into mu</t>
        </is>
      </c>
    </row>
    <row r="928">
      <c r="A928" s="21" t="inlineStr">
        <is>
          <t>Kerenzikov</t>
        </is>
      </c>
      <c r="B928" s="21" t="inlineStr">
        <is>
          <t>Кибернетика</t>
        </is>
      </c>
      <c r="C928" s="21" t="inlineStr">
        <is>
          <t>Neuralware</t>
        </is>
      </c>
      <c r="D928" s="21" t="inlineStr"/>
      <c r="E928" s="21" t="inlineStr"/>
      <c r="F928" s="31" t="n"/>
      <c r="G928" s="31" t="n"/>
      <c r="H928" s="31" t="n"/>
      <c r="I928" s="31" t="n"/>
      <c r="J928" s="31" t="n">
        <v>0</v>
      </c>
      <c r="K928" s="31" t="n">
        <v>0</v>
      </c>
      <c r="L928" s="31" t="n">
        <v>0</v>
      </c>
      <c r="M928" s="31" t="n">
        <v>14</v>
      </c>
      <c r="N928" s="21" t="inlineStr">
        <is>
          <t>Clinic</t>
        </is>
      </c>
      <c r="O928" s="21" t="inlineStr"/>
      <c r="P928" s="21" t="inlineStr"/>
      <c r="Q928" s="21" t="inlineStr"/>
      <c r="R928" s="40" t="n">
        <v>500</v>
      </c>
      <c r="S928" s="21" t="inlineStr">
        <is>
          <t>CP:R 359</t>
        </is>
      </c>
      <c r="T928" s="21" t="inlineStr">
        <is>
          <t>Neuralware Option. Always-on Speedware that provides consistently improved reaction time. User adds +2 to their Initiative Rolls. Only a single piece of Speedware can be installed into a user at a time. Requires Neural L</t>
        </is>
      </c>
    </row>
    <row r="929">
      <c r="A929" s="21" t="inlineStr">
        <is>
          <t>Sandevistan</t>
        </is>
      </c>
      <c r="B929" s="21" t="inlineStr">
        <is>
          <t>Кибернетика</t>
        </is>
      </c>
      <c r="C929" s="21" t="inlineStr">
        <is>
          <t>Neuralware</t>
        </is>
      </c>
      <c r="D929" s="21" t="inlineStr"/>
      <c r="E929" s="21" t="inlineStr"/>
      <c r="F929" s="31" t="n"/>
      <c r="G929" s="31" t="n"/>
      <c r="H929" s="31" t="n"/>
      <c r="I929" s="31" t="n"/>
      <c r="J929" s="31" t="n">
        <v>0</v>
      </c>
      <c r="K929" s="31" t="n">
        <v>0</v>
      </c>
      <c r="L929" s="31" t="n">
        <v>0</v>
      </c>
      <c r="M929" s="31" t="n">
        <v>7</v>
      </c>
      <c r="N929" s="21" t="inlineStr">
        <is>
          <t>Clinic</t>
        </is>
      </c>
      <c r="O929" s="21" t="inlineStr"/>
      <c r="P929" s="21" t="inlineStr"/>
      <c r="Q929" s="21" t="inlineStr"/>
      <c r="R929" s="40" t="n">
        <v>500</v>
      </c>
      <c r="S929" s="21" t="inlineStr">
        <is>
          <t>CP:R 359</t>
        </is>
      </c>
      <c r="T929" s="21" t="inlineStr">
        <is>
          <t xml:space="preserve">Neuralware Option. Speedware that provides short boosts of highly improved reaction time. When activated as an Action, the user adds +3 to any Initiative Roll they make in the next minute, after which Sandevistan cannot </t>
        </is>
      </c>
    </row>
    <row r="930">
      <c r="A930" s="21" t="inlineStr">
        <is>
          <t>DeathTrance</t>
        </is>
      </c>
      <c r="B930" s="21" t="inlineStr">
        <is>
          <t>Кибернетика</t>
        </is>
      </c>
      <c r="C930" s="21" t="inlineStr">
        <is>
          <t>Neuralware</t>
        </is>
      </c>
      <c r="D930" s="21" t="inlineStr"/>
      <c r="E930" s="21" t="inlineStr"/>
      <c r="F930" s="31" t="n"/>
      <c r="G930" s="31" t="n"/>
      <c r="H930" s="31" t="n"/>
      <c r="I930" s="31" t="n"/>
      <c r="J930" s="31" t="n">
        <v>0</v>
      </c>
      <c r="K930" s="31" t="n">
        <v>0</v>
      </c>
      <c r="L930" s="31" t="n">
        <v>0</v>
      </c>
      <c r="M930" s="31" t="n">
        <v>3</v>
      </c>
      <c r="N930" s="21" t="inlineStr">
        <is>
          <t>Clinic</t>
        </is>
      </c>
      <c r="O930" s="21" t="inlineStr"/>
      <c r="P930" s="21" t="inlineStr"/>
      <c r="Q930" s="21" t="inlineStr"/>
      <c r="R930" s="40" t="n">
        <v>500</v>
      </c>
      <c r="S930" s="21" t="inlineStr">
        <is>
          <t>DL:12Cy 3 · IR3 85</t>
        </is>
      </c>
      <c r="T930" s="21" t="inlineStr">
        <is>
          <t>Are you a thief looking to sneak into a hospital through the morgue? Or a goth looking to perfect their deathly glow before the next big party? Either way, you’ll want DeathTrance, the only Neuralware option guaranteed t</t>
        </is>
      </c>
    </row>
    <row r="931">
      <c r="A931" s="21" t="inlineStr">
        <is>
          <t>Drone Remote</t>
        </is>
      </c>
      <c r="B931" s="21" t="inlineStr">
        <is>
          <t>Кибернетика</t>
        </is>
      </c>
      <c r="C931" s="21" t="inlineStr">
        <is>
          <t>Neuralware</t>
        </is>
      </c>
      <c r="D931" s="21" t="inlineStr"/>
      <c r="E931" s="21" t="inlineStr"/>
      <c r="F931" s="31" t="n"/>
      <c r="G931" s="31" t="n"/>
      <c r="H931" s="31" t="n"/>
      <c r="I931" s="31" t="n"/>
      <c r="J931" s="31" t="n">
        <v>0</v>
      </c>
      <c r="K931" s="31" t="n">
        <v>0</v>
      </c>
      <c r="L931" s="31" t="n">
        <v>0</v>
      </c>
      <c r="M931" s="31" t="n">
        <v>7</v>
      </c>
      <c r="N931" s="21" t="inlineStr">
        <is>
          <t>Clinic</t>
        </is>
      </c>
      <c r="O931" s="21" t="inlineStr"/>
      <c r="P931" s="21" t="inlineStr"/>
      <c r="Q931" s="21" t="inlineStr"/>
      <c r="R931" s="40" t="n">
        <v>500</v>
      </c>
      <c r="S931" s="21" t="inlineStr">
        <is>
          <t>DL:HR+ 22</t>
        </is>
      </c>
      <c r="T931" s="21" t="inlineStr">
        <is>
          <t xml:space="preserve">The perfect piece of cyberware for true drone heads since it places a remote control for your drone in your head. Neuralware Option. The Drone Remote allows a user to mentally control their drone as if it were an Agent. </t>
        </is>
      </c>
    </row>
    <row r="932">
      <c r="A932" s="21" t="inlineStr">
        <is>
          <t>KTech Doberman 500</t>
        </is>
      </c>
      <c r="B932" s="21" t="inlineStr">
        <is>
          <t>Снаряжение</t>
        </is>
      </c>
      <c r="C932" s="21" t="inlineStr">
        <is>
          <t>Personal Drone</t>
        </is>
      </c>
      <c r="D932" s="21" t="inlineStr"/>
      <c r="E932" s="21" t="inlineStr"/>
      <c r="F932" s="31" t="n"/>
      <c r="G932" s="31" t="n"/>
      <c r="H932" s="31" t="n"/>
      <c r="I932" s="31" t="n"/>
      <c r="J932" s="31" t="n">
        <v>0</v>
      </c>
      <c r="K932" s="31" t="n">
        <v>0</v>
      </c>
      <c r="L932" s="31" t="n">
        <v>0</v>
      </c>
      <c r="M932" s="31" t="n">
        <v>0</v>
      </c>
      <c r="N932" s="21" t="inlineStr"/>
      <c r="O932" s="21" t="inlineStr"/>
      <c r="P932" s="21" t="inlineStr"/>
      <c r="Q932" s="21" t="inlineStr"/>
      <c r="R932" s="40" t="n">
        <v>5000</v>
      </c>
      <c r="S932" s="21" t="inlineStr">
        <is>
          <t>BC 45</t>
        </is>
      </c>
      <c r="T932" s="21" t="inlineStr">
        <is>
          <t xml:space="preserve">Personal Drone. When purchased, a KTech Doberman 500 is linked to an Agent. Voluntarily linking it to a new Agent requires 5 uninterrupted minutes and both Agents must remain within 6 m/yds of the drone the entire time. </t>
        </is>
      </c>
    </row>
    <row r="933">
      <c r="A933" s="21" t="inlineStr">
        <is>
          <t>My First GRAF3</t>
        </is>
      </c>
      <c r="B933" s="21" t="inlineStr">
        <is>
          <t>Снаряжение</t>
        </is>
      </c>
      <c r="C933" s="21" t="inlineStr">
        <is>
          <t>Personal Drone</t>
        </is>
      </c>
      <c r="D933" s="21" t="inlineStr"/>
      <c r="E933" s="21" t="inlineStr"/>
      <c r="F933" s="31" t="n"/>
      <c r="G933" s="31" t="n"/>
      <c r="H933" s="31" t="n"/>
      <c r="I933" s="31" t="n"/>
      <c r="J933" s="31" t="n">
        <v>0</v>
      </c>
      <c r="K933" s="31" t="n">
        <v>0</v>
      </c>
      <c r="L933" s="31" t="n">
        <v>0</v>
      </c>
      <c r="M933" s="31" t="n">
        <v>0</v>
      </c>
      <c r="N933" s="21" t="inlineStr"/>
      <c r="O933" s="21" t="inlineStr"/>
      <c r="P933" s="21" t="inlineStr"/>
      <c r="Q933" s="21" t="inlineStr"/>
      <c r="R933" s="40" t="n">
        <v>500</v>
      </c>
      <c r="S933" s="21" t="inlineStr">
        <is>
          <t>IR1 61</t>
        </is>
      </c>
      <c r="T933" s="21" t="inlineStr">
        <is>
          <t>You might be too young to build, maintain, and pilot a real industrial drone, but with My First GRAF3, you can prepare for your future as an engineer and have hours of fun! This three-foot tall version of the Zhirafa GRA</t>
        </is>
      </c>
    </row>
    <row r="934">
      <c r="A934" s="21" t="inlineStr">
        <is>
          <t>The Observer</t>
        </is>
      </c>
      <c r="B934" s="21" t="inlineStr">
        <is>
          <t>Снаряжение</t>
        </is>
      </c>
      <c r="C934" s="21" t="inlineStr">
        <is>
          <t>Personal Drone</t>
        </is>
      </c>
      <c r="D934" s="21" t="inlineStr"/>
      <c r="E934" s="21" t="inlineStr"/>
      <c r="F934" s="31" t="n"/>
      <c r="G934" s="31" t="n"/>
      <c r="H934" s="31" t="n"/>
      <c r="I934" s="31" t="n"/>
      <c r="J934" s="31" t="n">
        <v>0</v>
      </c>
      <c r="K934" s="31" t="n">
        <v>0</v>
      </c>
      <c r="L934" s="31" t="n">
        <v>0</v>
      </c>
      <c r="M934" s="31" t="n">
        <v>0</v>
      </c>
      <c r="N934" s="21" t="inlineStr"/>
      <c r="O934" s="21" t="inlineStr"/>
      <c r="P934" s="21" t="inlineStr"/>
      <c r="Q934" s="21" t="inlineStr"/>
      <c r="R934" s="40" t="n">
        <v>1000</v>
      </c>
      <c r="S934" s="21" t="inlineStr">
        <is>
          <t>IR1 62 · DGD 148</t>
        </is>
      </c>
      <c r="T934" s="21" t="inlineStr">
        <is>
          <t xml:space="preserve">Everyone loves a camera. They’re how we record memories to relive later and to share with friends and family. How much better would it be if your camera could move on its own and record your memories for you? That’s the </t>
        </is>
      </c>
    </row>
    <row r="935">
      <c r="A935" s="21" t="inlineStr">
        <is>
          <t>The Transporter</t>
        </is>
      </c>
      <c r="B935" s="21" t="inlineStr">
        <is>
          <t>Снаряжение</t>
        </is>
      </c>
      <c r="C935" s="21" t="inlineStr">
        <is>
          <t>Personal Drone</t>
        </is>
      </c>
      <c r="D935" s="21" t="inlineStr"/>
      <c r="E935" s="21" t="inlineStr"/>
      <c r="F935" s="31" t="n"/>
      <c r="G935" s="31" t="n"/>
      <c r="H935" s="31" t="n"/>
      <c r="I935" s="31" t="n"/>
      <c r="J935" s="31" t="n">
        <v>0</v>
      </c>
      <c r="K935" s="31" t="n">
        <v>0</v>
      </c>
      <c r="L935" s="31" t="n">
        <v>0</v>
      </c>
      <c r="M935" s="31" t="n">
        <v>0</v>
      </c>
      <c r="N935" s="21" t="inlineStr"/>
      <c r="O935" s="21" t="inlineStr"/>
      <c r="P935" s="21" t="inlineStr"/>
      <c r="Q935" s="21" t="inlineStr"/>
      <c r="R935" s="40" t="n">
        <v>5000</v>
      </c>
      <c r="S935" s="21" t="inlineStr">
        <is>
          <t>IR1 63</t>
        </is>
      </c>
      <c r="T935" s="21" t="inlineStr">
        <is>
          <t>Chances are, you’ve seen the Concept Mechanics Transporter flying around the city, industriously carrying packages and delivering them safely to customers. Fast, agile, and strong, the Transporter is perfect for replacin</t>
        </is>
      </c>
    </row>
    <row r="936">
      <c r="A936" s="21" t="inlineStr">
        <is>
          <t>Antibiotic</t>
        </is>
      </c>
      <c r="B936" s="21" t="inlineStr">
        <is>
          <t>Снаряжение</t>
        </is>
      </c>
      <c r="C936" s="21" t="inlineStr">
        <is>
          <t>Pharma</t>
        </is>
      </c>
      <c r="D936" s="21" t="inlineStr"/>
      <c r="E936" s="21" t="inlineStr"/>
      <c r="F936" s="31" t="n"/>
      <c r="G936" s="31" t="n"/>
      <c r="H936" s="31" t="n"/>
      <c r="I936" s="31" t="n"/>
      <c r="J936" s="31" t="n">
        <v>0</v>
      </c>
      <c r="K936" s="31" t="n">
        <v>0</v>
      </c>
      <c r="L936" s="31" t="n">
        <v>0</v>
      </c>
      <c r="M936" s="31" t="n">
        <v>0</v>
      </c>
      <c r="N936" s="21" t="inlineStr"/>
      <c r="O936" s="21" t="inlineStr"/>
      <c r="P936" s="21" t="inlineStr"/>
      <c r="Q936" s="21" t="inlineStr"/>
      <c r="R936" s="40" t="n">
        <v>200</v>
      </c>
      <c r="S936" s="21" t="inlineStr">
        <is>
          <t>CP:R 150</t>
        </is>
      </c>
      <c r="T936" s="21" t="inlineStr">
        <is>
          <t>When injected with a dose of Antibiotic, a target who has already started the natural healing process heals an extra 2 Hit Points every day for a week. A person can only benefit from one use of Antibiotic at a time.</t>
        </is>
      </c>
    </row>
    <row r="937">
      <c r="A937" s="21" t="inlineStr">
        <is>
          <t>Rapidetox</t>
        </is>
      </c>
      <c r="B937" s="21" t="inlineStr">
        <is>
          <t>Снаряжение</t>
        </is>
      </c>
      <c r="C937" s="21" t="inlineStr">
        <is>
          <t>Pharma</t>
        </is>
      </c>
      <c r="D937" s="21" t="inlineStr"/>
      <c r="E937" s="21" t="inlineStr"/>
      <c r="F937" s="31" t="n"/>
      <c r="G937" s="31" t="n"/>
      <c r="H937" s="31" t="n"/>
      <c r="I937" s="31" t="n"/>
      <c r="J937" s="31" t="n">
        <v>0</v>
      </c>
      <c r="K937" s="31" t="n">
        <v>0</v>
      </c>
      <c r="L937" s="31" t="n">
        <v>0</v>
      </c>
      <c r="M937" s="31" t="n">
        <v>0</v>
      </c>
      <c r="N937" s="21" t="inlineStr"/>
      <c r="O937" s="21" t="inlineStr"/>
      <c r="P937" s="21" t="inlineStr"/>
      <c r="Q937" s="21" t="inlineStr"/>
      <c r="R937" s="40" t="n">
        <v>200</v>
      </c>
      <c r="S937" s="21" t="inlineStr">
        <is>
          <t>CP:R 150</t>
        </is>
      </c>
      <c r="T937" s="21" t="inlineStr">
        <is>
          <t>When injected with a dose of Rapidetox, a target who is affected by a drug, poison, or intoxicant is immediately purged of the effects of that substance.</t>
        </is>
      </c>
    </row>
    <row r="938">
      <c r="A938" s="21" t="inlineStr">
        <is>
          <t>Sedative</t>
        </is>
      </c>
      <c r="B938" s="21" t="inlineStr">
        <is>
          <t>Снаряжение</t>
        </is>
      </c>
      <c r="C938" s="21" t="inlineStr">
        <is>
          <t>Pharma</t>
        </is>
      </c>
      <c r="D938" s="21" t="inlineStr"/>
      <c r="E938" s="21" t="inlineStr"/>
      <c r="F938" s="31" t="n"/>
      <c r="G938" s="31" t="n"/>
      <c r="H938" s="31" t="n"/>
      <c r="I938" s="31" t="n"/>
      <c r="J938" s="31" t="n">
        <v>0</v>
      </c>
      <c r="K938" s="31" t="n">
        <v>0</v>
      </c>
      <c r="L938" s="31" t="n">
        <v>0</v>
      </c>
      <c r="M938" s="31" t="n">
        <v>0</v>
      </c>
      <c r="N938" s="21" t="inlineStr"/>
      <c r="O938" s="21" t="inlineStr"/>
      <c r="P938" s="21" t="inlineStr"/>
      <c r="Q938" s="21" t="inlineStr"/>
      <c r="R938" s="40" t="n">
        <v>200</v>
      </c>
      <c r="S938" s="21" t="inlineStr">
        <is>
          <t>DL:HP 4 · IR4 6</t>
        </is>
      </c>
      <c r="T938" s="21" t="inlineStr">
        <is>
          <t>“Technically, I’m only supposed to sell this to licensed Medtechs for surgical purposes, but it’s not like I’m getting it from a legal vendor anyway. A dose of this’ll put a grown man into a stupor in seconds.” When admi</t>
        </is>
      </c>
    </row>
    <row r="939">
      <c r="A939" s="21" t="inlineStr">
        <is>
          <t>Speedheal</t>
        </is>
      </c>
      <c r="B939" s="21" t="inlineStr">
        <is>
          <t>Снаряжение</t>
        </is>
      </c>
      <c r="C939" s="21" t="inlineStr">
        <is>
          <t>Pharma</t>
        </is>
      </c>
      <c r="D939" s="21" t="inlineStr"/>
      <c r="E939" s="21" t="inlineStr"/>
      <c r="F939" s="31" t="n"/>
      <c r="G939" s="31" t="n"/>
      <c r="H939" s="31" t="n"/>
      <c r="I939" s="31" t="n"/>
      <c r="J939" s="31" t="n">
        <v>0</v>
      </c>
      <c r="K939" s="31" t="n">
        <v>0</v>
      </c>
      <c r="L939" s="31" t="n">
        <v>0</v>
      </c>
      <c r="M939" s="31" t="n">
        <v>0</v>
      </c>
      <c r="N939" s="21" t="inlineStr"/>
      <c r="O939" s="21" t="inlineStr"/>
      <c r="P939" s="21" t="inlineStr"/>
      <c r="Q939" s="21" t="inlineStr"/>
      <c r="R939" s="40" t="n">
        <v>200</v>
      </c>
      <c r="S939" s="21" t="inlineStr">
        <is>
          <t>CP:R 150</t>
        </is>
      </c>
      <c r="T939" s="21" t="inlineStr">
        <is>
          <t>When injected with a dose of Speedheal, a target who is not in the Mortally Wounded Wound State immediately heals an amount of HP equal to their BODY + WILL. A person can only benefit from one use of Speedheal per day.</t>
        </is>
      </c>
    </row>
    <row r="940">
      <c r="A940" s="21" t="inlineStr">
        <is>
          <t>Stim</t>
        </is>
      </c>
      <c r="B940" s="21" t="inlineStr">
        <is>
          <t>Снаряжение</t>
        </is>
      </c>
      <c r="C940" s="21" t="inlineStr">
        <is>
          <t>Pharma</t>
        </is>
      </c>
      <c r="D940" s="21" t="inlineStr"/>
      <c r="E940" s="21" t="inlineStr"/>
      <c r="F940" s="31" t="n"/>
      <c r="G940" s="31" t="n"/>
      <c r="H940" s="31" t="n"/>
      <c r="I940" s="31" t="n"/>
      <c r="J940" s="31" t="n">
        <v>0</v>
      </c>
      <c r="K940" s="31" t="n">
        <v>0</v>
      </c>
      <c r="L940" s="31" t="n">
        <v>0</v>
      </c>
      <c r="M940" s="31" t="n">
        <v>0</v>
      </c>
      <c r="N940" s="21" t="inlineStr"/>
      <c r="O940" s="21" t="inlineStr"/>
      <c r="P940" s="21" t="inlineStr"/>
      <c r="Q940" s="21" t="inlineStr"/>
      <c r="R940" s="40" t="n">
        <v>200</v>
      </c>
      <c r="S940" s="21" t="inlineStr">
        <is>
          <t>CP:R 150</t>
        </is>
      </c>
      <c r="T940" s="21" t="inlineStr">
        <is>
          <t>When injected with a dose of Stim, a target can ignore all penalties from being in the Seriously Wounded Wound State for an hour. A person can only benefit from one use of Stim per day.</t>
        </is>
      </c>
    </row>
    <row r="941">
      <c r="A941" s="21" t="inlineStr">
        <is>
          <t>Surge</t>
        </is>
      </c>
      <c r="B941" s="21" t="inlineStr">
        <is>
          <t>Снаряжение</t>
        </is>
      </c>
      <c r="C941" s="21" t="inlineStr">
        <is>
          <t>Pharma</t>
        </is>
      </c>
      <c r="D941" s="21" t="inlineStr"/>
      <c r="E941" s="21" t="inlineStr"/>
      <c r="F941" s="31" t="n"/>
      <c r="G941" s="31" t="n"/>
      <c r="H941" s="31" t="n"/>
      <c r="I941" s="31" t="n"/>
      <c r="J941" s="31" t="n">
        <v>0</v>
      </c>
      <c r="K941" s="31" t="n">
        <v>0</v>
      </c>
      <c r="L941" s="31" t="n">
        <v>0</v>
      </c>
      <c r="M941" s="31" t="n">
        <v>0</v>
      </c>
      <c r="N941" s="21" t="inlineStr"/>
      <c r="O941" s="21" t="inlineStr"/>
      <c r="P941" s="21" t="inlineStr"/>
      <c r="Q941" s="21" t="inlineStr"/>
      <c r="R941" s="40" t="n">
        <v>200</v>
      </c>
      <c r="S941" s="21" t="inlineStr">
        <is>
          <t>CP:R 150</t>
        </is>
      </c>
      <c r="T941" s="21" t="inlineStr">
        <is>
          <t>When injected with a dose of Surge, a target can function unimpaired without sleep for a full 24 hours. A person can only benefit from one use of Surge per week.</t>
        </is>
      </c>
    </row>
    <row r="942">
      <c r="A942" s="21" t="inlineStr">
        <is>
          <t>Veritas</t>
        </is>
      </c>
      <c r="B942" s="21" t="inlineStr">
        <is>
          <t>Снаряжение</t>
        </is>
      </c>
      <c r="C942" s="21" t="inlineStr">
        <is>
          <t>Pharma</t>
        </is>
      </c>
      <c r="D942" s="21" t="inlineStr"/>
      <c r="E942" s="21" t="inlineStr"/>
      <c r="F942" s="31" t="n"/>
      <c r="G942" s="31" t="n"/>
      <c r="H942" s="31" t="n"/>
      <c r="I942" s="31" t="n"/>
      <c r="J942" s="31" t="n">
        <v>0</v>
      </c>
      <c r="K942" s="31" t="n">
        <v>0</v>
      </c>
      <c r="L942" s="31" t="n">
        <v>0</v>
      </c>
      <c r="M942" s="31" t="n">
        <v>0</v>
      </c>
      <c r="N942" s="21" t="inlineStr"/>
      <c r="O942" s="21" t="inlineStr"/>
      <c r="P942" s="21" t="inlineStr"/>
      <c r="Q942" s="21" t="inlineStr"/>
      <c r="R942" s="40" t="n">
        <v>200</v>
      </c>
      <c r="S942" s="21" t="inlineStr">
        <is>
          <t>DL:HP 4 · IR4 6</t>
        </is>
      </c>
      <c r="T942" s="21" t="inlineStr">
        <is>
          <t>“I made a lot of this stuff for Arasaka during the war. Torture is messy, and you don’t always get the information you’re looking for. With a little Veritas, they’ll be talking in no time.” When administered a dose of Ve</t>
        </is>
      </c>
    </row>
    <row r="943">
      <c r="A943" s="21" t="inlineStr">
        <is>
          <t>Delaying Compound</t>
        </is>
      </c>
      <c r="B943" s="21" t="inlineStr">
        <is>
          <t>Снаряжение</t>
        </is>
      </c>
      <c r="C943" s="21" t="inlineStr">
        <is>
          <t>Poison</t>
        </is>
      </c>
      <c r="D943" s="21" t="inlineStr"/>
      <c r="E943" s="21" t="inlineStr"/>
      <c r="F943" s="31" t="n"/>
      <c r="G943" s="31" t="n"/>
      <c r="H943" s="31" t="n"/>
      <c r="I943" s="31" t="n"/>
      <c r="J943" s="31" t="n">
        <v>0</v>
      </c>
      <c r="K943" s="31" t="n">
        <v>0</v>
      </c>
      <c r="L943" s="31" t="n">
        <v>0</v>
      </c>
      <c r="M943" s="31" t="n">
        <v>0</v>
      </c>
      <c r="N943" s="21" t="inlineStr"/>
      <c r="O943" s="21" t="inlineStr"/>
      <c r="P943" s="21" t="inlineStr"/>
      <c r="Q943" s="21" t="inlineStr"/>
      <c r="R943" s="40" t="n">
        <v>50</v>
      </c>
      <c r="S943" s="21" t="inlineStr">
        <is>
          <t>DL:HP 4 · IR4 6</t>
        </is>
      </c>
      <c r="T943" s="21" t="inlineStr">
        <is>
          <t>“Trust me, you don’t want to be in the same room with a person you just poisoned. With this little compound, you can make sure you’re gone before that glass of wine you poured turns sour, so to speak.” If this compound i</t>
        </is>
      </c>
    </row>
    <row r="944">
      <c r="A944" s="21" t="inlineStr">
        <is>
          <t>Distilling Compound</t>
        </is>
      </c>
      <c r="B944" s="21" t="inlineStr">
        <is>
          <t>Снаряжение</t>
        </is>
      </c>
      <c r="C944" s="21" t="inlineStr">
        <is>
          <t>Poison</t>
        </is>
      </c>
      <c r="D944" s="21" t="inlineStr"/>
      <c r="E944" s="21" t="inlineStr"/>
      <c r="F944" s="31" t="n"/>
      <c r="G944" s="31" t="n"/>
      <c r="H944" s="31" t="n"/>
      <c r="I944" s="31" t="n"/>
      <c r="J944" s="31" t="n">
        <v>0</v>
      </c>
      <c r="K944" s="31" t="n">
        <v>0</v>
      </c>
      <c r="L944" s="31" t="n">
        <v>0</v>
      </c>
      <c r="M944" s="31" t="n">
        <v>0</v>
      </c>
      <c r="N944" s="21" t="inlineStr"/>
      <c r="O944" s="21" t="inlineStr"/>
      <c r="P944" s="21" t="inlineStr"/>
      <c r="Q944" s="21" t="inlineStr"/>
      <c r="R944" s="40" t="n">
        <v>100</v>
      </c>
      <c r="S944" s="21" t="inlineStr">
        <is>
          <t>DL:HP 4 · IR4 6</t>
        </is>
      </c>
      <c r="T944" s="21" t="inlineStr">
        <is>
          <t>“Your average poison only goes so far, and a really tough operator can push through. Mix a little of this in before you apply your poison, and it’ll supercharge it.” As an Action, this compound can be mixed with a Vial o</t>
        </is>
      </c>
    </row>
    <row r="945">
      <c r="A945" s="21" t="inlineStr">
        <is>
          <t>Osmosis Compound</t>
        </is>
      </c>
      <c r="B945" s="21" t="inlineStr">
        <is>
          <t>Снаряжение</t>
        </is>
      </c>
      <c r="C945" s="21" t="inlineStr">
        <is>
          <t>Poison</t>
        </is>
      </c>
      <c r="D945" s="21" t="inlineStr"/>
      <c r="E945" s="21" t="inlineStr"/>
      <c r="F945" s="31" t="n"/>
      <c r="G945" s="31" t="n"/>
      <c r="H945" s="31" t="n"/>
      <c r="I945" s="31" t="n"/>
      <c r="J945" s="31" t="n">
        <v>0</v>
      </c>
      <c r="K945" s="31" t="n">
        <v>0</v>
      </c>
      <c r="L945" s="31" t="n">
        <v>0</v>
      </c>
      <c r="M945" s="31" t="n">
        <v>0</v>
      </c>
      <c r="N945" s="21" t="inlineStr"/>
      <c r="O945" s="21" t="inlineStr"/>
      <c r="P945" s="21" t="inlineStr"/>
      <c r="Q945" s="21" t="inlineStr"/>
      <c r="R945" s="40" t="n">
        <v>50</v>
      </c>
      <c r="S945" s="21" t="inlineStr">
        <is>
          <t>DL:HP 4 · IR4 6</t>
        </is>
      </c>
      <c r="T945" s="21" t="inlineStr">
        <is>
          <t>“You can’t always rely on a poisoned dart or a toxic cocktail to get the job done. Mix this compound into your poison, and you can slather it on a door handle, a toothbrush, or maybe your enemy’s favorite gun.” If this c</t>
        </is>
      </c>
    </row>
    <row r="946">
      <c r="A946" s="21" t="inlineStr">
        <is>
          <t>Vial of Biotoxin (Снаряжение)</t>
        </is>
      </c>
      <c r="B946" s="21" t="inlineStr">
        <is>
          <t>Снаряжение</t>
        </is>
      </c>
      <c r="C946" s="21" t="inlineStr">
        <is>
          <t>Poison</t>
        </is>
      </c>
      <c r="D946" s="21" t="inlineStr"/>
      <c r="E946" s="21" t="inlineStr">
        <is>
          <t>3d6</t>
        </is>
      </c>
      <c r="F946" s="31" t="n"/>
      <c r="G946" s="31" t="n"/>
      <c r="H946" s="31" t="n"/>
      <c r="I946" s="31" t="n"/>
      <c r="J946" s="31" t="n">
        <v>0</v>
      </c>
      <c r="K946" s="31" t="n">
        <v>0</v>
      </c>
      <c r="L946" s="31" t="n">
        <v>0</v>
      </c>
      <c r="M946" s="31" t="n">
        <v>0</v>
      </c>
      <c r="N946" s="21" t="inlineStr"/>
      <c r="O946" s="21" t="inlineStr"/>
      <c r="P946" s="21" t="inlineStr"/>
      <c r="Q946" s="21" t="inlineStr"/>
      <c r="R946" s="40" t="n">
        <v>500</v>
      </c>
      <c r="S946" s="21" t="inlineStr">
        <is>
          <t>CP:R 355</t>
        </is>
      </c>
      <c r="T946" s="21" t="inlineStr">
        <is>
          <t>An entire vial of biotoxin can be smeared on any Light Melee Weapon as an Action. For the next 30 minutes after application, instead of dealing the weapon's typical damage, anyone meat hit by the biotoxin-coated Light Me</t>
        </is>
      </c>
    </row>
    <row r="947">
      <c r="A947" s="21" t="inlineStr">
        <is>
          <t>Vial of Poison (Снаряжение)</t>
        </is>
      </c>
      <c r="B947" s="21" t="inlineStr">
        <is>
          <t>Снаряжение</t>
        </is>
      </c>
      <c r="C947" s="21" t="inlineStr">
        <is>
          <t>Poison</t>
        </is>
      </c>
      <c r="D947" s="21" t="inlineStr"/>
      <c r="E947" s="21" t="inlineStr">
        <is>
          <t>2d6</t>
        </is>
      </c>
      <c r="F947" s="31" t="n"/>
      <c r="G947" s="31" t="n"/>
      <c r="H947" s="31" t="n"/>
      <c r="I947" s="31" t="n"/>
      <c r="J947" s="31" t="n">
        <v>0</v>
      </c>
      <c r="K947" s="31" t="n">
        <v>0</v>
      </c>
      <c r="L947" s="31" t="n">
        <v>0</v>
      </c>
      <c r="M947" s="31" t="n">
        <v>0</v>
      </c>
      <c r="N947" s="21" t="inlineStr"/>
      <c r="O947" s="21" t="inlineStr"/>
      <c r="P947" s="21" t="inlineStr"/>
      <c r="Q947" s="21" t="inlineStr"/>
      <c r="R947" s="40" t="n">
        <v>100</v>
      </c>
      <c r="S947" s="21" t="inlineStr">
        <is>
          <t>CP:R 355</t>
        </is>
      </c>
      <c r="T947" s="21" t="inlineStr">
        <is>
          <t>An entire vial of poison can be smeared on any Light Melee Weapon as an Action. For the next 30 minutes after application, instead of dealing the weapon's typical damage, anyone meat hit by the poisoned Light Melee Weapo</t>
        </is>
      </c>
    </row>
    <row r="948">
      <c r="A948" s="21" t="inlineStr">
        <is>
          <t>Rocket Launcher</t>
        </is>
      </c>
      <c r="B948" s="21" t="inlineStr">
        <is>
          <t>Огнестрельное оружие</t>
        </is>
      </c>
      <c r="C948" s="21" t="inlineStr">
        <is>
          <t>Rocket Launcher</t>
        </is>
      </c>
      <c r="D948" s="21" t="inlineStr">
        <is>
          <t>Heavy Weapons</t>
        </is>
      </c>
      <c r="E948" s="21" t="inlineStr">
        <is>
          <t>8d6</t>
        </is>
      </c>
      <c r="F948" s="31" t="n">
        <v>1</v>
      </c>
      <c r="G948" s="31" t="n">
        <v>1</v>
      </c>
      <c r="H948" s="31" t="n"/>
      <c r="I948" s="31" t="n"/>
      <c r="J948" s="31" t="n">
        <v>0</v>
      </c>
      <c r="K948" s="31" t="n">
        <v>0</v>
      </c>
      <c r="L948" s="31" t="n">
        <v>0</v>
      </c>
      <c r="M948" s="31" t="n">
        <v>0</v>
      </c>
      <c r="N948" s="21" t="inlineStr"/>
      <c r="O948" s="21" t="n">
        <v>2</v>
      </c>
      <c r="P948" s="21" t="inlineStr">
        <is>
          <t>NO</t>
        </is>
      </c>
      <c r="Q948" s="21" t="inlineStr">
        <is>
          <t>Standard</t>
        </is>
      </c>
      <c r="R948" s="40" t="n">
        <v>500</v>
      </c>
      <c r="S948" s="21" t="inlineStr">
        <is>
          <t>CP:R 341</t>
        </is>
      </c>
      <c r="T948" s="21" t="inlineStr">
        <is>
          <t>Generic Rocket Launcher. Can be flavored as any that is not listed here.</t>
        </is>
      </c>
    </row>
    <row r="949">
      <c r="A949" s="21" t="inlineStr">
        <is>
          <t>Biotechnica Enviro-Launcher</t>
        </is>
      </c>
      <c r="B949" s="21" t="inlineStr">
        <is>
          <t>Огнестрельное оружие</t>
        </is>
      </c>
      <c r="C949" s="21" t="inlineStr">
        <is>
          <t>Rocket Launcher</t>
        </is>
      </c>
      <c r="D949" s="21" t="inlineStr">
        <is>
          <t>Heavy Weapons</t>
        </is>
      </c>
      <c r="E949" s="21" t="inlineStr">
        <is>
          <t>8d6</t>
        </is>
      </c>
      <c r="F949" s="31" t="n">
        <v>1</v>
      </c>
      <c r="G949" s="31" t="n">
        <v>1</v>
      </c>
      <c r="H949" s="31" t="n"/>
      <c r="I949" s="31" t="n"/>
      <c r="J949" s="31" t="n">
        <v>0</v>
      </c>
      <c r="K949" s="31" t="n">
        <v>0</v>
      </c>
      <c r="L949" s="31" t="n">
        <v>0</v>
      </c>
      <c r="M949" s="31" t="n">
        <v>0</v>
      </c>
      <c r="N949" s="21" t="inlineStr"/>
      <c r="O949" s="21" t="n">
        <v>2</v>
      </c>
      <c r="P949" s="21" t="inlineStr">
        <is>
          <t>NO</t>
        </is>
      </c>
      <c r="Q949" s="21" t="inlineStr">
        <is>
          <t>Poor</t>
        </is>
      </c>
      <c r="R949" s="40" t="n">
        <v>500</v>
      </c>
      <c r="S949" s="21" t="inlineStr">
        <is>
          <t>DL:WG 3 · IR3 27</t>
        </is>
      </c>
      <c r="T949" s="21" t="inlineStr">
        <is>
          <t>The Biotechnica Enviro-Launcher is a single-shot Poor Quality Exotic Rocket Launcher. After use, it is to be biodegraded by activating a reactive enzyme concealed within the handle</t>
        </is>
      </c>
    </row>
    <row r="950">
      <c r="A950" s="21" t="inlineStr">
        <is>
          <t>BudgetArms Triple Threat</t>
        </is>
      </c>
      <c r="B950" s="21" t="inlineStr">
        <is>
          <t>Огнестрельное оружие</t>
        </is>
      </c>
      <c r="C950" s="21" t="inlineStr">
        <is>
          <t>Rocket Launcher</t>
        </is>
      </c>
      <c r="D950" s="21" t="inlineStr">
        <is>
          <t>Heavy Weapons</t>
        </is>
      </c>
      <c r="E950" s="21" t="inlineStr">
        <is>
          <t>8d6/6</t>
        </is>
      </c>
      <c r="F950" s="31" t="n">
        <v>1</v>
      </c>
      <c r="G950" s="31" t="n">
        <v>2</v>
      </c>
      <c r="H950" s="31" t="n"/>
      <c r="I950" s="31" t="n"/>
      <c r="J950" s="31" t="n">
        <v>0</v>
      </c>
      <c r="K950" s="31" t="n">
        <v>0</v>
      </c>
      <c r="L950" s="31" t="n">
        <v>0</v>
      </c>
      <c r="M950" s="31" t="n">
        <v>0</v>
      </c>
      <c r="N950" s="21" t="inlineStr"/>
      <c r="O950" s="21" t="n">
        <v>2</v>
      </c>
      <c r="P950" s="21" t="inlineStr">
        <is>
          <t>NO</t>
        </is>
      </c>
      <c r="Q950" s="21" t="inlineStr">
        <is>
          <t>Poor</t>
        </is>
      </c>
      <c r="R950" s="40" t="n">
        <v>500</v>
      </c>
      <c r="S950" s="21" t="inlineStr">
        <is>
          <t>DL:WG 3 · IR3 27</t>
        </is>
      </c>
      <c r="T950" s="21" t="inlineStr">
        <is>
          <t>Not everybody has a huge budget when it comes to explosives. Some people have problems that are bigger than their bank balance. Save on hardware, splurge on ammunition. A Poor Quality Exotic Rocket Launcher with a two sh</t>
        </is>
      </c>
    </row>
    <row r="951">
      <c r="A951" s="21" t="inlineStr">
        <is>
          <t>GunMart Engage</t>
        </is>
      </c>
      <c r="B951" s="21" t="inlineStr">
        <is>
          <t>Огнестрельное оружие</t>
        </is>
      </c>
      <c r="C951" s="21" t="inlineStr">
        <is>
          <t>Rocket Launcher</t>
        </is>
      </c>
      <c r="D951" s="21" t="inlineStr">
        <is>
          <t>Heavy Weapons</t>
        </is>
      </c>
      <c r="E951" s="21" t="inlineStr">
        <is>
          <t>8d6</t>
        </is>
      </c>
      <c r="F951" s="31" t="n">
        <v>1</v>
      </c>
      <c r="G951" s="31" t="n">
        <v>1</v>
      </c>
      <c r="H951" s="31" t="n"/>
      <c r="I951" s="31" t="n"/>
      <c r="J951" s="31" t="n">
        <v>0</v>
      </c>
      <c r="K951" s="31" t="n">
        <v>0</v>
      </c>
      <c r="L951" s="31" t="n">
        <v>0</v>
      </c>
      <c r="M951" s="31" t="n">
        <v>0</v>
      </c>
      <c r="N951" s="21" t="inlineStr"/>
      <c r="O951" s="21" t="n">
        <v>2</v>
      </c>
      <c r="P951" s="21" t="inlineStr">
        <is>
          <t>NO</t>
        </is>
      </c>
      <c r="Q951" s="21" t="inlineStr">
        <is>
          <t>Poor</t>
        </is>
      </c>
      <c r="R951" s="40" t="n">
        <v>100</v>
      </c>
      <c r="S951" s="21" t="inlineStr">
        <is>
          <t>BC 107</t>
        </is>
      </c>
      <c r="T951" s="21" t="inlineStr">
        <is>
          <t>Poor Quality Exotic Rocket Launcher only capable of firing Armor Piercing Rockets. Each purchase comes with an Armor Piercing Rocket already loaded into its magazine. Whenever you roll a Critical Failure while firing the</t>
        </is>
      </c>
    </row>
    <row r="952">
      <c r="A952" s="21" t="inlineStr">
        <is>
          <t>MetaCorp Hela Smart</t>
        </is>
      </c>
      <c r="B952" s="21" t="inlineStr">
        <is>
          <t>Огнестрельное оружие</t>
        </is>
      </c>
      <c r="C952" s="21" t="inlineStr">
        <is>
          <t>Rocket Launcher</t>
        </is>
      </c>
      <c r="D952" s="21" t="inlineStr">
        <is>
          <t>Heavy Weapons</t>
        </is>
      </c>
      <c r="E952" s="21" t="inlineStr">
        <is>
          <t>8d6</t>
        </is>
      </c>
      <c r="F952" s="31" t="n">
        <v>1</v>
      </c>
      <c r="G952" s="31" t="n">
        <v>1</v>
      </c>
      <c r="H952" s="31" t="n"/>
      <c r="I952" s="31" t="n"/>
      <c r="J952" s="31" t="n">
        <v>0</v>
      </c>
      <c r="K952" s="31" t="n">
        <v>0</v>
      </c>
      <c r="L952" s="31" t="n">
        <v>0</v>
      </c>
      <c r="M952" s="31" t="n">
        <v>0</v>
      </c>
      <c r="N952" s="21" t="inlineStr"/>
      <c r="O952" s="21" t="n">
        <v>2</v>
      </c>
      <c r="P952" s="21" t="inlineStr">
        <is>
          <t>NO</t>
        </is>
      </c>
      <c r="Q952" s="21" t="inlineStr">
        <is>
          <t>Standard</t>
        </is>
      </c>
      <c r="R952" s="40" t="n">
        <v>1000</v>
      </c>
      <c r="S952" s="21" t="inlineStr">
        <is>
          <t>DL:TT 13 · IR5 47</t>
        </is>
      </c>
      <c r="T952" s="21" t="inlineStr">
        <is>
          <t xml:space="preserve">A MetaCorp weapon originally designed for internal use and then sold on the open market. The Hela is a solid rocket launcher equipped with smart targeting assist hardware, making it easier than ever to blow up the enemy </t>
        </is>
      </c>
    </row>
    <row r="953">
      <c r="A953" s="21" t="inlineStr">
        <is>
          <t>Midnight Arms SDF-45</t>
        </is>
      </c>
      <c r="B953" s="21" t="inlineStr">
        <is>
          <t>Огнестрельное оружие</t>
        </is>
      </c>
      <c r="C953" s="21" t="inlineStr">
        <is>
          <t>Rocket Launcher</t>
        </is>
      </c>
      <c r="D953" s="21" t="inlineStr">
        <is>
          <t>Heavy Weapons</t>
        </is>
      </c>
      <c r="E953" s="21" t="inlineStr">
        <is>
          <t>6d6</t>
        </is>
      </c>
      <c r="F953" s="31" t="n">
        <v>2</v>
      </c>
      <c r="G953" s="31" t="n">
        <v>4</v>
      </c>
      <c r="H953" s="31" t="n"/>
      <c r="I953" s="31" t="n"/>
      <c r="J953" s="31" t="n">
        <v>0</v>
      </c>
      <c r="K953" s="31" t="n">
        <v>0</v>
      </c>
      <c r="L953" s="31" t="n">
        <v>0</v>
      </c>
      <c r="M953" s="31" t="n">
        <v>0</v>
      </c>
      <c r="N953" s="21" t="inlineStr"/>
      <c r="O953" s="21" t="n">
        <v>2</v>
      </c>
      <c r="P953" s="21" t="inlineStr">
        <is>
          <t>NO</t>
        </is>
      </c>
      <c r="Q953" s="21" t="inlineStr">
        <is>
          <t>Standard</t>
        </is>
      </c>
      <c r="R953" s="40" t="n">
        <v>1000</v>
      </c>
      <c r="S953" s="21" t="inlineStr">
        <is>
          <t>DL:WG 3 · DGD 144 · IR3 27</t>
        </is>
      </c>
      <c r="T953" s="21" t="inlineStr">
        <is>
          <t xml:space="preserve">The SDF-45 is an Exotic Rocket Launcher with a maximum range of 400 m/yds. Its magazine holds 4 Armor Piercing Rockets. Whenever you attack with this weapon, it fires two rockets at once at your target. However, instead </t>
        </is>
      </c>
    </row>
    <row r="954">
      <c r="A954" s="21" t="inlineStr">
        <is>
          <t>Militech Archimedes</t>
        </is>
      </c>
      <c r="B954" s="21" t="inlineStr">
        <is>
          <t>Огнестрельное оружие</t>
        </is>
      </c>
      <c r="C954" s="21" t="inlineStr">
        <is>
          <t>Rocket Launcher</t>
        </is>
      </c>
      <c r="D954" s="21" t="inlineStr">
        <is>
          <t>Pilot Air Vehicle</t>
        </is>
      </c>
      <c r="E954" s="21" t="inlineStr">
        <is>
          <t>8d6</t>
        </is>
      </c>
      <c r="F954" s="31" t="n">
        <v>1</v>
      </c>
      <c r="G954" s="31" t="n">
        <v>1</v>
      </c>
      <c r="H954" s="31" t="n"/>
      <c r="I954" s="31" t="n"/>
      <c r="J954" s="31" t="n">
        <v>0</v>
      </c>
      <c r="K954" s="31" t="n">
        <v>0</v>
      </c>
      <c r="L954" s="31" t="n">
        <v>0</v>
      </c>
      <c r="M954" s="31" t="n">
        <v>0</v>
      </c>
      <c r="N954" s="21" t="inlineStr"/>
      <c r="O954" s="21" t="n">
        <v>2</v>
      </c>
      <c r="P954" s="21" t="inlineStr">
        <is>
          <t>NO</t>
        </is>
      </c>
      <c r="Q954" s="21" t="inlineStr">
        <is>
          <t>Excellent</t>
        </is>
      </c>
      <c r="R954" s="40" t="n">
        <v>1000</v>
      </c>
      <c r="S954" s="21" t="inlineStr">
        <is>
          <t>DL:WG 4 · IR3 28</t>
        </is>
      </c>
      <c r="T954" s="21" t="inlineStr">
        <is>
          <t>Excellent Quality Exotic Rocket Launcher fired using the Pilot Air Vehicle Skill instead of the Heavy Weapons Skill. It can only fire Smart Rockets. The weapon will not function unless its user has Targeting Scope cyberw</t>
        </is>
      </c>
    </row>
    <row r="955">
      <c r="A955" s="21" t="inlineStr">
        <is>
          <t>Militech Growler</t>
        </is>
      </c>
      <c r="B955" s="21" t="inlineStr">
        <is>
          <t>Огнестрельное оружие</t>
        </is>
      </c>
      <c r="C955" s="21" t="inlineStr">
        <is>
          <t>Rocket Launcher</t>
        </is>
      </c>
      <c r="D955" s="21" t="inlineStr">
        <is>
          <t>Heavy Weapons</t>
        </is>
      </c>
      <c r="E955" s="21" t="inlineStr">
        <is>
          <t>8d6</t>
        </is>
      </c>
      <c r="F955" s="31" t="n">
        <v>1</v>
      </c>
      <c r="G955" s="31" t="n">
        <v>1</v>
      </c>
      <c r="H955" s="31" t="n"/>
      <c r="I955" s="31" t="n"/>
      <c r="J955" s="31" t="n">
        <v>0</v>
      </c>
      <c r="K955" s="31" t="n">
        <v>0</v>
      </c>
      <c r="L955" s="31" t="n">
        <v>0</v>
      </c>
      <c r="M955" s="31" t="n">
        <v>0</v>
      </c>
      <c r="N955" s="21" t="inlineStr"/>
      <c r="O955" s="21" t="n">
        <v>2</v>
      </c>
      <c r="P955" s="21" t="inlineStr">
        <is>
          <t>NO</t>
        </is>
      </c>
      <c r="Q955" s="21" t="inlineStr">
        <is>
          <t>Standard</t>
        </is>
      </c>
      <c r="R955" s="40" t="n">
        <v>10000</v>
      </c>
      <c r="S955" s="21" t="inlineStr">
        <is>
          <t>T:Street 71</t>
        </is>
      </c>
      <c r="T955" s="21" t="inlineStr">
        <is>
          <t xml:space="preserve">The Growler is an experimental crowd control weapon that causes anything with a brain that fails a DV19 Resist Torture/Drugs Check to suffer the Brain Damage Critical Injury. It can only be used by a person with BODY 11 </t>
        </is>
      </c>
    </row>
    <row r="956">
      <c r="A956" s="21" t="inlineStr">
        <is>
          <t>Militech Hotshot L-ATGM</t>
        </is>
      </c>
      <c r="B956" s="21" t="inlineStr">
        <is>
          <t>Огнестрельное оружие</t>
        </is>
      </c>
      <c r="C956" s="21" t="inlineStr">
        <is>
          <t>Rocket Launcher</t>
        </is>
      </c>
      <c r="D956" s="21" t="inlineStr">
        <is>
          <t>Heavy Weapons</t>
        </is>
      </c>
      <c r="E956" s="21" t="inlineStr">
        <is>
          <t>8d6</t>
        </is>
      </c>
      <c r="F956" s="31" t="n">
        <v>1</v>
      </c>
      <c r="G956" s="31" t="n">
        <v>1</v>
      </c>
      <c r="H956" s="31" t="n"/>
      <c r="I956" s="31" t="n"/>
      <c r="J956" s="31" t="n">
        <v>0</v>
      </c>
      <c r="K956" s="31" t="n">
        <v>0</v>
      </c>
      <c r="L956" s="31" t="n">
        <v>0</v>
      </c>
      <c r="M956" s="31" t="n">
        <v>0</v>
      </c>
      <c r="N956" s="21" t="inlineStr"/>
      <c r="O956" s="21" t="n">
        <v>2</v>
      </c>
      <c r="P956" s="21" t="inlineStr">
        <is>
          <t>NO</t>
        </is>
      </c>
      <c r="Q956" s="21" t="inlineStr">
        <is>
          <t>Excellent</t>
        </is>
      </c>
      <c r="R956" s="40" t="n">
        <v>1000</v>
      </c>
      <c r="S956" s="21" t="inlineStr">
        <is>
          <t>CP:R 342 · DL:TT 13 · IR5 47</t>
        </is>
      </c>
      <c r="T956" s="21" t="inlineStr">
        <is>
          <t>Militech "Hotshot" is an excellent quality weapon. It’s designed to always perfectly hit its target</t>
        </is>
      </c>
    </row>
    <row r="957">
      <c r="A957" s="21" t="inlineStr">
        <is>
          <t>Militech Starshot L-ATGM-N</t>
        </is>
      </c>
      <c r="B957" s="21" t="inlineStr">
        <is>
          <t>Огнестрельное оружие</t>
        </is>
      </c>
      <c r="C957" s="21" t="inlineStr">
        <is>
          <t>Rocket Launcher</t>
        </is>
      </c>
      <c r="D957" s="21" t="inlineStr">
        <is>
          <t>Heavy Weapons</t>
        </is>
      </c>
      <c r="E957" s="21" t="inlineStr">
        <is>
          <t>8d6</t>
        </is>
      </c>
      <c r="F957" s="31" t="n">
        <v>1</v>
      </c>
      <c r="G957" s="31" t="n">
        <v>1</v>
      </c>
      <c r="H957" s="31" t="n"/>
      <c r="I957" s="31" t="n"/>
      <c r="J957" s="31" t="n">
        <v>0</v>
      </c>
      <c r="K957" s="31" t="n">
        <v>0</v>
      </c>
      <c r="L957" s="31" t="n">
        <v>0</v>
      </c>
      <c r="M957" s="31" t="n">
        <v>0</v>
      </c>
      <c r="N957" s="21" t="inlineStr"/>
      <c r="O957" s="21" t="n">
        <v>2</v>
      </c>
      <c r="P957" s="21" t="inlineStr">
        <is>
          <t>NO</t>
        </is>
      </c>
      <c r="Q957" s="21" t="inlineStr">
        <is>
          <t>Excellent</t>
        </is>
      </c>
      <c r="R957" s="40" t="n">
        <v>1500</v>
      </c>
      <c r="S957" s="21" t="inlineStr">
        <is>
          <t>DL:TT 13 · IR5 47</t>
        </is>
      </c>
      <c r="T957" s="21" t="inlineStr">
        <is>
          <t>The Militech Starshot L-ATGM-N is an excellent quality weapon which comes preinstalled with an Infrared Nightvision Scope.</t>
        </is>
      </c>
    </row>
    <row r="958">
      <c r="A958" s="21" t="inlineStr">
        <is>
          <t>Militech Urban</t>
        </is>
      </c>
      <c r="B958" s="21" t="inlineStr">
        <is>
          <t>Огнестрельное оружие</t>
        </is>
      </c>
      <c r="C958" s="21" t="inlineStr">
        <is>
          <t>Rocket Launcher</t>
        </is>
      </c>
      <c r="D958" s="21" t="inlineStr">
        <is>
          <t>Heavy Weapons</t>
        </is>
      </c>
      <c r="E958" s="21" t="inlineStr">
        <is>
          <t>8d6</t>
        </is>
      </c>
      <c r="F958" s="31" t="n">
        <v>1</v>
      </c>
      <c r="G958" s="31" t="n">
        <v>1</v>
      </c>
      <c r="H958" s="31" t="n"/>
      <c r="I958" s="31" t="n"/>
      <c r="J958" s="31" t="n">
        <v>0</v>
      </c>
      <c r="K958" s="31" t="n">
        <v>0</v>
      </c>
      <c r="L958" s="31" t="n">
        <v>0</v>
      </c>
      <c r="M958" s="31" t="n">
        <v>0</v>
      </c>
      <c r="N958" s="21" t="inlineStr"/>
      <c r="O958" s="21" t="n">
        <v>2</v>
      </c>
      <c r="P958" s="21" t="inlineStr">
        <is>
          <t>NO</t>
        </is>
      </c>
      <c r="Q958" s="21" t="inlineStr">
        <is>
          <t>Standard</t>
        </is>
      </c>
      <c r="R958" s="40" t="n">
        <v>500</v>
      </c>
      <c r="S958" s="21" t="inlineStr">
        <is>
          <t>CP:R 342 · DL:TT 13 · IR5 47</t>
        </is>
      </c>
      <c r="T958" s="21" t="inlineStr">
        <is>
          <t>Rumour has it the Urban was conceived after a Militech general witnessed a Cyberpsycho using a Popup Rocket Launcher and ordered his men to design something similar which anyone could use</t>
        </is>
      </c>
    </row>
    <row r="959">
      <c r="A959" s="21" t="inlineStr">
        <is>
          <t>Towa Type-R</t>
        </is>
      </c>
      <c r="B959" s="21" t="inlineStr">
        <is>
          <t>Огнестрельное оружие</t>
        </is>
      </c>
      <c r="C959" s="21" t="inlineStr">
        <is>
          <t>Rocket Launcher</t>
        </is>
      </c>
      <c r="D959" s="21" t="inlineStr">
        <is>
          <t>Heavy Weapons</t>
        </is>
      </c>
      <c r="E959" s="21" t="inlineStr">
        <is>
          <t>8d6</t>
        </is>
      </c>
      <c r="F959" s="31" t="n">
        <v>1</v>
      </c>
      <c r="G959" s="31" t="n">
        <v>1</v>
      </c>
      <c r="H959" s="31" t="n"/>
      <c r="I959" s="31" t="n"/>
      <c r="J959" s="31" t="n">
        <v>0</v>
      </c>
      <c r="K959" s="31" t="n">
        <v>0</v>
      </c>
      <c r="L959" s="31" t="n">
        <v>0</v>
      </c>
      <c r="M959" s="31" t="n">
        <v>0</v>
      </c>
      <c r="N959" s="21" t="inlineStr"/>
      <c r="O959" s="21" t="n">
        <v>2</v>
      </c>
      <c r="P959" s="21" t="inlineStr">
        <is>
          <t>NO</t>
        </is>
      </c>
      <c r="Q959" s="21" t="inlineStr">
        <is>
          <t>Poor</t>
        </is>
      </c>
      <c r="R959" s="40" t="n">
        <v>100</v>
      </c>
      <c r="S959" s="21" t="inlineStr">
        <is>
          <t>CP:R 342 · DL:TT 13 · IR5 47</t>
        </is>
      </c>
      <c r="T959" s="21" t="inlineStr">
        <is>
          <t>The Towa Manufacturing Type-R is a poor quality weapon. Due to its quality, it sometimes jams</t>
        </is>
      </c>
    </row>
    <row r="960">
      <c r="A960" s="21" t="inlineStr">
        <is>
          <t>Towa Type-R*2</t>
        </is>
      </c>
      <c r="B960" s="21" t="inlineStr">
        <is>
          <t>Огнестрельное оружие</t>
        </is>
      </c>
      <c r="C960" s="21" t="inlineStr">
        <is>
          <t>Rocket Launcher</t>
        </is>
      </c>
      <c r="D960" s="21" t="inlineStr">
        <is>
          <t>Heavy Weapons</t>
        </is>
      </c>
      <c r="E960" s="21" t="inlineStr">
        <is>
          <t>8d6</t>
        </is>
      </c>
      <c r="F960" s="31" t="n">
        <v>1</v>
      </c>
      <c r="G960" s="31" t="n">
        <v>2</v>
      </c>
      <c r="H960" s="31" t="n"/>
      <c r="I960" s="31" t="n"/>
      <c r="J960" s="31" t="n">
        <v>0</v>
      </c>
      <c r="K960" s="31" t="n">
        <v>0</v>
      </c>
      <c r="L960" s="31" t="n">
        <v>0</v>
      </c>
      <c r="M960" s="31" t="n">
        <v>0</v>
      </c>
      <c r="N960" s="21" t="inlineStr"/>
      <c r="O960" s="21" t="n">
        <v>2</v>
      </c>
      <c r="P960" s="21" t="inlineStr">
        <is>
          <t>NO</t>
        </is>
      </c>
      <c r="Q960" s="21" t="inlineStr">
        <is>
          <t>Poor</t>
        </is>
      </c>
      <c r="R960" s="40" t="n">
        <v>500</v>
      </c>
      <c r="S960" s="21" t="inlineStr">
        <is>
          <t>DL:TT 14 · IR5 48</t>
        </is>
      </c>
      <c r="T960" s="21" t="inlineStr">
        <is>
          <t>The Towa Manufacturing Type-R*2 is a two-barreled rocket launcher. Two different types of ammunition can be used. Reloading takes 2 Actions. It is incompatible with all magazine upgrades.</t>
        </is>
      </c>
    </row>
    <row r="961">
      <c r="A961" s="21" t="inlineStr">
        <is>
          <t>Towa Pocket Launcher</t>
        </is>
      </c>
      <c r="B961" s="21" t="inlineStr">
        <is>
          <t>Огнестрельное оружие</t>
        </is>
      </c>
      <c r="C961" s="21" t="inlineStr">
        <is>
          <t>Rocket Launcher</t>
        </is>
      </c>
      <c r="D961" s="21" t="inlineStr">
        <is>
          <t>Heavy Weapons</t>
        </is>
      </c>
      <c r="E961" s="21" t="inlineStr">
        <is>
          <t>8d6</t>
        </is>
      </c>
      <c r="F961" s="31" t="n">
        <v>1</v>
      </c>
      <c r="G961" s="31" t="n">
        <v>1</v>
      </c>
      <c r="H961" s="31" t="n"/>
      <c r="I961" s="31" t="n"/>
      <c r="J961" s="31" t="n">
        <v>0</v>
      </c>
      <c r="K961" s="31" t="n">
        <v>0</v>
      </c>
      <c r="L961" s="31" t="n">
        <v>0</v>
      </c>
      <c r="M961" s="31" t="n">
        <v>0</v>
      </c>
      <c r="N961" s="21" t="inlineStr"/>
      <c r="O961" s="21" t="n">
        <v>2</v>
      </c>
      <c r="P961" s="21" t="inlineStr">
        <is>
          <t>YES</t>
        </is>
      </c>
      <c r="Q961" s="21" t="inlineStr">
        <is>
          <t>Poor</t>
        </is>
      </c>
      <c r="R961" s="40" t="n">
        <v>500</v>
      </c>
      <c r="S961" s="21" t="inlineStr">
        <is>
          <t>DL:WG 5 · IR3 29</t>
        </is>
      </c>
      <c r="T961" s="21" t="inlineStr">
        <is>
          <t>The Towa Pocket Launcher is a Poor Quality rocket launcher that can be telescopically collapsed into itself for the purpose of transportation and concealment while unloaded.</t>
        </is>
      </c>
    </row>
    <row r="962">
      <c r="A962" s="21" t="inlineStr">
        <is>
          <t>SMG</t>
        </is>
      </c>
      <c r="B962" s="21" t="inlineStr">
        <is>
          <t>Огнестрельное оружие</t>
        </is>
      </c>
      <c r="C962" s="21" t="inlineStr">
        <is>
          <t>SMG</t>
        </is>
      </c>
      <c r="D962" s="21" t="inlineStr">
        <is>
          <t>Handgun</t>
        </is>
      </c>
      <c r="E962" s="21" t="inlineStr">
        <is>
          <t>2d6</t>
        </is>
      </c>
      <c r="F962" s="31" t="n">
        <v>1</v>
      </c>
      <c r="G962" s="31" t="n">
        <v>30</v>
      </c>
      <c r="H962" s="31" t="n"/>
      <c r="I962" s="31" t="n"/>
      <c r="J962" s="31" t="n">
        <v>0</v>
      </c>
      <c r="K962" s="31" t="n">
        <v>0</v>
      </c>
      <c r="L962" s="31" t="n">
        <v>0</v>
      </c>
      <c r="M962" s="31" t="n">
        <v>0</v>
      </c>
      <c r="N962" s="21" t="inlineStr"/>
      <c r="O962" s="21" t="n">
        <v>1</v>
      </c>
      <c r="P962" s="21" t="inlineStr">
        <is>
          <t>YES</t>
        </is>
      </c>
      <c r="Q962" s="21" t="inlineStr">
        <is>
          <t>Standard</t>
        </is>
      </c>
      <c r="R962" s="40" t="n">
        <v>100</v>
      </c>
      <c r="S962" s="21" t="inlineStr">
        <is>
          <t>CP:R 341</t>
        </is>
      </c>
      <c r="T962" s="21" t="inlineStr">
        <is>
          <t>Generic Submachine Gun. Can be flavored as any that is not listed here.</t>
        </is>
      </c>
    </row>
    <row r="963">
      <c r="A963" s="21" t="inlineStr">
        <is>
          <t>Arasaka HJKE-11 Yukimura</t>
        </is>
      </c>
      <c r="B963" s="21" t="inlineStr">
        <is>
          <t>Огнестрельное оружие</t>
        </is>
      </c>
      <c r="C963" s="21" t="inlineStr">
        <is>
          <t>SMG</t>
        </is>
      </c>
      <c r="D963" s="21" t="inlineStr">
        <is>
          <t>Handgun</t>
        </is>
      </c>
      <c r="E963" s="21" t="inlineStr">
        <is>
          <t>3d6</t>
        </is>
      </c>
      <c r="F963" s="31" t="n">
        <v>1</v>
      </c>
      <c r="G963" s="31" t="n">
        <v>30</v>
      </c>
      <c r="H963" s="31" t="n"/>
      <c r="I963" s="31" t="n"/>
      <c r="J963" s="31" t="n">
        <v>0</v>
      </c>
      <c r="K963" s="31" t="n">
        <v>0</v>
      </c>
      <c r="L963" s="31" t="n">
        <v>0</v>
      </c>
      <c r="M963" s="31" t="n">
        <v>0</v>
      </c>
      <c r="N963" s="21" t="inlineStr"/>
      <c r="O963" s="21" t="n">
        <v>1</v>
      </c>
      <c r="P963" s="21" t="inlineStr">
        <is>
          <t>YES</t>
        </is>
      </c>
      <c r="Q963" s="21" t="inlineStr">
        <is>
          <t>Standard</t>
        </is>
      </c>
      <c r="R963" s="40" t="n">
        <v>500</v>
      </c>
      <c r="S963" s="21" t="inlineStr">
        <is>
          <t>CEMK 31</t>
        </is>
      </c>
      <c r="T963" s="21" t="inlineStr">
        <is>
          <t>The weapon that started the smart revolution, issued in the 2040s by Arasaka. With the Yukimura, you could shoot as poorly as the troopers in a certain late 20th century space opera and still hit your target with 100% ac</t>
        </is>
      </c>
    </row>
    <row r="964">
      <c r="A964" s="21" t="inlineStr">
        <is>
          <t>Arasaka Minami 10</t>
        </is>
      </c>
      <c r="B964" s="21" t="inlineStr">
        <is>
          <t>Огнестрельное оружие</t>
        </is>
      </c>
      <c r="C964" s="21" t="inlineStr">
        <is>
          <t>SMG</t>
        </is>
      </c>
      <c r="D964" s="21" t="inlineStr">
        <is>
          <t>Handgun</t>
        </is>
      </c>
      <c r="E964" s="21" t="inlineStr">
        <is>
          <t>2d6</t>
        </is>
      </c>
      <c r="F964" s="31" t="n">
        <v>1</v>
      </c>
      <c r="G964" s="31" t="n">
        <v>30</v>
      </c>
      <c r="H964" s="31" t="n"/>
      <c r="I964" s="31" t="n"/>
      <c r="J964" s="31" t="n">
        <v>0</v>
      </c>
      <c r="K964" s="31" t="n">
        <v>0</v>
      </c>
      <c r="L964" s="31" t="n">
        <v>0</v>
      </c>
      <c r="M964" s="31" t="n">
        <v>0</v>
      </c>
      <c r="N964" s="21" t="inlineStr"/>
      <c r="O964" s="21" t="n">
        <v>1</v>
      </c>
      <c r="P964" s="21" t="inlineStr">
        <is>
          <t>YES</t>
        </is>
      </c>
      <c r="Q964" s="21" t="inlineStr">
        <is>
          <t>Excellent</t>
        </is>
      </c>
      <c r="R964" s="40" t="n">
        <v>500</v>
      </c>
      <c r="S964" s="21" t="inlineStr">
        <is>
          <t>CP:R 342 · DL:TT 6 · IR5 40</t>
        </is>
      </c>
      <c r="T964" s="21" t="inlineStr">
        <is>
          <t>Arasaka wouldn’t outfit its own security personnel with anything less than quality, so you know the Minami 10 is the best SMG the market has to offer. Thanks to the 4th Corporate War, there are a lot of these lying aroun</t>
        </is>
      </c>
    </row>
    <row r="965">
      <c r="A965" s="21" t="inlineStr">
        <is>
          <t>Arasaka Minami 10 P/M/S</t>
        </is>
      </c>
      <c r="B965" s="21" t="inlineStr">
        <is>
          <t>Огнестрельное оружие</t>
        </is>
      </c>
      <c r="C965" s="21" t="inlineStr">
        <is>
          <t>SMG</t>
        </is>
      </c>
      <c r="D965" s="21" t="inlineStr">
        <is>
          <t>Handgun</t>
        </is>
      </c>
      <c r="E965" s="21" t="inlineStr">
        <is>
          <t>2d6</t>
        </is>
      </c>
      <c r="F965" s="31" t="n">
        <v>1</v>
      </c>
      <c r="G965" s="31" t="n">
        <v>30</v>
      </c>
      <c r="H965" s="31" t="n"/>
      <c r="I965" s="31" t="n"/>
      <c r="J965" s="31" t="n">
        <v>0</v>
      </c>
      <c r="K965" s="31" t="n">
        <v>0</v>
      </c>
      <c r="L965" s="31" t="n">
        <v>0</v>
      </c>
      <c r="M965" s="31" t="n">
        <v>0</v>
      </c>
      <c r="N965" s="21" t="inlineStr"/>
      <c r="O965" s="21" t="n">
        <v>1</v>
      </c>
      <c r="P965" s="21" t="inlineStr">
        <is>
          <t>YES</t>
        </is>
      </c>
      <c r="Q965" s="21" t="inlineStr">
        <is>
          <t>Excellent</t>
        </is>
      </c>
      <c r="R965" s="40" t="n">
        <v>600</v>
      </c>
      <c r="S965" s="21" t="inlineStr">
        <is>
          <t>DL:TT 6 · IR5 40</t>
        </is>
      </c>
      <c r="T965" s="21" t="inlineStr">
        <is>
          <t>Officially designed for police, military, and security functions where discretion is more important than flash, the Minami 10 P/M/S saw extensive use as an assassination tool during the 4th Corporate War. An Excellent Qu</t>
        </is>
      </c>
    </row>
    <row r="966">
      <c r="A966" s="21" t="inlineStr">
        <is>
          <t>Big Dreem</t>
        </is>
      </c>
      <c r="B966" s="21" t="inlineStr">
        <is>
          <t>Огнестрельное оружие</t>
        </is>
      </c>
      <c r="C966" s="21" t="inlineStr">
        <is>
          <t>SMG</t>
        </is>
      </c>
      <c r="D966" s="21" t="inlineStr">
        <is>
          <t>Autofire</t>
        </is>
      </c>
      <c r="E966" s="21" t="inlineStr">
        <is>
          <t>-</t>
        </is>
      </c>
      <c r="F966" s="31" t="n">
        <v>1</v>
      </c>
      <c r="G966" s="31" t="n">
        <v>30</v>
      </c>
      <c r="H966" s="31" t="n"/>
      <c r="I966" s="31" t="n"/>
      <c r="J966" s="31" t="n">
        <v>0</v>
      </c>
      <c r="K966" s="31" t="n">
        <v>0</v>
      </c>
      <c r="L966" s="31" t="n">
        <v>0</v>
      </c>
      <c r="M966" s="31" t="n">
        <v>0</v>
      </c>
      <c r="N966" s="21" t="inlineStr"/>
      <c r="O966" s="21" t="n">
        <v>1</v>
      </c>
      <c r="P966" s="21" t="inlineStr">
        <is>
          <t>NO</t>
        </is>
      </c>
      <c r="Q966" s="21" t="inlineStr">
        <is>
          <t>Standard</t>
        </is>
      </c>
      <c r="R966" s="40" t="n">
        <v>10</v>
      </c>
      <c r="S966" s="21" t="inlineStr">
        <is>
          <t>DL:BC+ 3 · IR4 11</t>
        </is>
      </c>
      <c r="T966" s="21" t="inlineStr">
        <is>
          <t>“Oh, those things scare the heck out of me. I’ve never seen one carried by a living person who wasn’t totally ready to die. Do you really want to buy one?” An Exotic SMG only capable of Autofire. It can only load proprie</t>
        </is>
      </c>
    </row>
    <row r="967">
      <c r="A967" s="21" t="inlineStr">
        <is>
          <t>Dai Lung Cybermag 20</t>
        </is>
      </c>
      <c r="B967" s="21" t="inlineStr">
        <is>
          <t>Огнестрельное оружие</t>
        </is>
      </c>
      <c r="C967" s="21" t="inlineStr">
        <is>
          <t>SMG</t>
        </is>
      </c>
      <c r="D967" s="21" t="inlineStr">
        <is>
          <t>Handgun</t>
        </is>
      </c>
      <c r="E967" s="21" t="inlineStr">
        <is>
          <t>2d6</t>
        </is>
      </c>
      <c r="F967" s="31" t="n">
        <v>1</v>
      </c>
      <c r="G967" s="31" t="n">
        <v>50</v>
      </c>
      <c r="H967" s="31" t="n"/>
      <c r="I967" s="31" t="n"/>
      <c r="J967" s="31" t="n">
        <v>0</v>
      </c>
      <c r="K967" s="31" t="n">
        <v>0</v>
      </c>
      <c r="L967" s="31" t="n">
        <v>0</v>
      </c>
      <c r="M967" s="31" t="n">
        <v>0</v>
      </c>
      <c r="N967" s="21" t="inlineStr"/>
      <c r="O967" s="21" t="n">
        <v>1</v>
      </c>
      <c r="P967" s="21" t="inlineStr">
        <is>
          <t>NO</t>
        </is>
      </c>
      <c r="Q967" s="21" t="inlineStr">
        <is>
          <t>Poor</t>
        </is>
      </c>
      <c r="R967" s="40" t="n">
        <v>550</v>
      </c>
      <c r="S967" s="21" t="inlineStr">
        <is>
          <t>DL:TT 6 · IR5 40</t>
        </is>
      </c>
      <c r="T967" s="21" t="inlineStr">
        <is>
          <t>Another low-quality knock-off from Dai Lung, this time of the classic IMI UZ. Credit where credit is due: Dai Lung tried to improve the original by adding extra ammo capacity. A Poor Quality SMG. It comes equipped with a</t>
        </is>
      </c>
    </row>
    <row r="968">
      <c r="A968" s="21" t="inlineStr">
        <is>
          <t>Fed Arms Pepper Shaker</t>
        </is>
      </c>
      <c r="B968" s="21" t="inlineStr">
        <is>
          <t>Огнестрельное оружие</t>
        </is>
      </c>
      <c r="C968" s="21" t="inlineStr">
        <is>
          <t>SMG</t>
        </is>
      </c>
      <c r="D968" s="21" t="inlineStr">
        <is>
          <t>Autofire</t>
        </is>
      </c>
      <c r="E968" s="21" t="inlineStr">
        <is>
          <t>-</t>
        </is>
      </c>
      <c r="F968" s="31" t="n">
        <v>1</v>
      </c>
      <c r="G968" s="31" t="n">
        <v>30</v>
      </c>
      <c r="H968" s="31" t="n"/>
      <c r="I968" s="31" t="n"/>
      <c r="J968" s="31" t="n">
        <v>0</v>
      </c>
      <c r="K968" s="31" t="n">
        <v>0</v>
      </c>
      <c r="L968" s="31" t="n">
        <v>0</v>
      </c>
      <c r="M968" s="31" t="n">
        <v>0</v>
      </c>
      <c r="N968" s="21" t="inlineStr"/>
      <c r="O968" s="21" t="n">
        <v>1</v>
      </c>
      <c r="P968" s="21" t="inlineStr">
        <is>
          <t>YES</t>
        </is>
      </c>
      <c r="Q968" s="21" t="inlineStr">
        <is>
          <t>Standard</t>
        </is>
      </c>
      <c r="R968" s="40" t="n">
        <v>500</v>
      </c>
      <c r="S968" s="21" t="inlineStr">
        <is>
          <t>BC 105</t>
        </is>
      </c>
      <c r="T968" s="21" t="inlineStr">
        <is>
          <t>The Federated Arms Pepper Shaker is a compact SMG popular for its comfortable shooting experience, despite only being capable of autofire. The most significant benefit of the weapon is its ammunition-saving trigger featu</t>
        </is>
      </c>
    </row>
    <row r="969">
      <c r="A969" s="21" t="inlineStr">
        <is>
          <t>Fed Arms Tech-Assault III</t>
        </is>
      </c>
      <c r="B969" s="21" t="inlineStr">
        <is>
          <t>Огнестрельное оружие</t>
        </is>
      </c>
      <c r="C969" s="21" t="inlineStr">
        <is>
          <t>SMG</t>
        </is>
      </c>
      <c r="D969" s="21" t="inlineStr">
        <is>
          <t>Handgun</t>
        </is>
      </c>
      <c r="E969" s="21" t="inlineStr">
        <is>
          <t>2d6</t>
        </is>
      </c>
      <c r="F969" s="31" t="n">
        <v>1</v>
      </c>
      <c r="G969" s="31" t="n">
        <v>30</v>
      </c>
      <c r="H969" s="31" t="n"/>
      <c r="I969" s="31" t="n"/>
      <c r="J969" s="31" t="n">
        <v>0</v>
      </c>
      <c r="K969" s="31" t="n">
        <v>0</v>
      </c>
      <c r="L969" s="31" t="n">
        <v>0</v>
      </c>
      <c r="M969" s="31" t="n">
        <v>0</v>
      </c>
      <c r="N969" s="21" t="inlineStr"/>
      <c r="O969" s="21" t="n">
        <v>1</v>
      </c>
      <c r="P969" s="21" t="inlineStr">
        <is>
          <t>YES</t>
        </is>
      </c>
      <c r="Q969" s="21" t="inlineStr">
        <is>
          <t>Poor</t>
        </is>
      </c>
      <c r="R969" s="40" t="n">
        <v>50</v>
      </c>
      <c r="S969" s="21" t="inlineStr">
        <is>
          <t>CP:R 342 · DL:TT 6 · IR5 40</t>
        </is>
      </c>
      <c r="T969" s="21" t="inlineStr">
        <is>
          <t>The Tech-Assault I tended to melt when subjected to the stresses of autofire. The Tech-Assault II promised to fix the flaw… but didn’t. Surely, the Tech-Assault III gets it right? Sort of. It no longer melts, but it jams</t>
        </is>
      </c>
    </row>
    <row r="970">
      <c r="A970" s="21" t="inlineStr">
        <is>
          <t>Militech Mastiff SMG</t>
        </is>
      </c>
      <c r="B970" s="21" t="inlineStr">
        <is>
          <t>Огнестрельное оружие</t>
        </is>
      </c>
      <c r="C970" s="21" t="inlineStr">
        <is>
          <t>SMG</t>
        </is>
      </c>
      <c r="D970" s="21" t="inlineStr">
        <is>
          <t>Handgun / Shoulder Arms</t>
        </is>
      </c>
      <c r="E970" s="21" t="inlineStr">
        <is>
          <t>2d6/3</t>
        </is>
      </c>
      <c r="F970" s="31" t="n">
        <v>1</v>
      </c>
      <c r="G970" s="31" t="inlineStr">
        <is>
          <t>30 / 3</t>
        </is>
      </c>
      <c r="H970" s="31" t="n"/>
      <c r="I970" s="31" t="n"/>
      <c r="J970" s="31" t="n">
        <v>0</v>
      </c>
      <c r="K970" s="31" t="n">
        <v>0</v>
      </c>
      <c r="L970" s="31" t="n">
        <v>0</v>
      </c>
      <c r="M970" s="31" t="n">
        <v>0</v>
      </c>
      <c r="N970" s="21" t="inlineStr"/>
      <c r="O970" s="21" t="n">
        <v>2</v>
      </c>
      <c r="P970" s="21" t="inlineStr">
        <is>
          <t>NO</t>
        </is>
      </c>
      <c r="Q970" s="21" t="inlineStr">
        <is>
          <t>Standard</t>
        </is>
      </c>
      <c r="R970" s="40" t="n">
        <v>1000</v>
      </c>
      <c r="S970" s="21" t="inlineStr">
        <is>
          <t>BC 113</t>
        </is>
      </c>
      <c r="T970" s="21" t="inlineStr">
        <is>
          <t>The Militech Mastiff SMG was designed to punch holes in doors to help breach and then follow up with a burst of bullets. Each Mastiff comes with an instruction video showing how useful the shotgun feature is as some bast</t>
        </is>
      </c>
    </row>
    <row r="971">
      <c r="A971" s="21" t="inlineStr">
        <is>
          <t>Militech Mini-Gat</t>
        </is>
      </c>
      <c r="B971" s="21" t="inlineStr">
        <is>
          <t>Огнестрельное оружие</t>
        </is>
      </c>
      <c r="C971" s="21" t="inlineStr">
        <is>
          <t>SMG</t>
        </is>
      </c>
      <c r="D971" s="21" t="inlineStr">
        <is>
          <t>Handgun</t>
        </is>
      </c>
      <c r="E971" s="21" t="inlineStr">
        <is>
          <t>2d6</t>
        </is>
      </c>
      <c r="F971" s="31" t="n">
        <v>1</v>
      </c>
      <c r="G971" s="31" t="n">
        <v>30</v>
      </c>
      <c r="H971" s="31" t="n"/>
      <c r="I971" s="31" t="n"/>
      <c r="J971" s="31" t="n">
        <v>0</v>
      </c>
      <c r="K971" s="31" t="n">
        <v>0</v>
      </c>
      <c r="L971" s="31" t="n">
        <v>0</v>
      </c>
      <c r="M971" s="31" t="n">
        <v>0</v>
      </c>
      <c r="N971" s="21" t="inlineStr"/>
      <c r="O971" s="21" t="n">
        <v>1</v>
      </c>
      <c r="P971" s="21" t="inlineStr">
        <is>
          <t>YES</t>
        </is>
      </c>
      <c r="Q971" s="21" t="inlineStr">
        <is>
          <t>Standard</t>
        </is>
      </c>
      <c r="R971" s="40" t="n">
        <v>100</v>
      </c>
      <c r="S971" s="21" t="inlineStr">
        <is>
          <t>CP:R 342 · DL:TT 7 · IR5 41</t>
        </is>
      </c>
      <c r="T971" s="21" t="inlineStr">
        <is>
          <t>Why settle for one barrel when you can have five? The classic Militech Mini-Gat Machine Carbine buzzes like no other when spitting lead in autofire mode. No sound is more satisfying to an autofire enthusiast’s ears. A St</t>
        </is>
      </c>
    </row>
    <row r="972">
      <c r="A972" s="21" t="inlineStr">
        <is>
          <t>Mustang Arms Rodeo</t>
        </is>
      </c>
      <c r="B972" s="21" t="inlineStr">
        <is>
          <t>Огнестрельное оружие</t>
        </is>
      </c>
      <c r="C972" s="21" t="inlineStr">
        <is>
          <t>SMG</t>
        </is>
      </c>
      <c r="D972" s="21" t="inlineStr">
        <is>
          <t>Handgun</t>
        </is>
      </c>
      <c r="E972" s="21" t="inlineStr">
        <is>
          <t>3d6</t>
        </is>
      </c>
      <c r="F972" s="31" t="n">
        <v>1</v>
      </c>
      <c r="G972" s="31" t="n">
        <v>30</v>
      </c>
      <c r="H972" s="31" t="n"/>
      <c r="I972" s="31" t="n"/>
      <c r="J972" s="31" t="n">
        <v>0</v>
      </c>
      <c r="K972" s="31" t="n">
        <v>0</v>
      </c>
      <c r="L972" s="31" t="n">
        <v>0</v>
      </c>
      <c r="M972" s="31" t="n">
        <v>0</v>
      </c>
      <c r="N972" s="21" t="inlineStr"/>
      <c r="O972" s="21" t="n">
        <v>1</v>
      </c>
      <c r="P972" s="21" t="inlineStr">
        <is>
          <t>YES</t>
        </is>
      </c>
      <c r="Q972" s="21" t="inlineStr">
        <is>
          <t>Poor</t>
        </is>
      </c>
      <c r="R972" s="40" t="n">
        <v>100</v>
      </c>
      <c r="S972" s="21" t="inlineStr">
        <is>
          <t>DL:TT 7 · IR5 41</t>
        </is>
      </c>
      <c r="T972" s="21" t="inlineStr">
        <is>
          <t>An incredible amount of power in a small package. Unleashing its full potential requires a precise eye, steady hands, and incredible skill. Can you handle it? A Poor Quality SMG that deals 3d6 damage when fired in Single</t>
        </is>
      </c>
    </row>
    <row r="973">
      <c r="A973" s="21" t="inlineStr">
        <is>
          <t>Teen Dreem</t>
        </is>
      </c>
      <c r="B973" s="21" t="inlineStr">
        <is>
          <t>Огнестрельное оружие</t>
        </is>
      </c>
      <c r="C973" s="21" t="inlineStr">
        <is>
          <t>SMG</t>
        </is>
      </c>
      <c r="D973" s="21" t="inlineStr">
        <is>
          <t>Handgun</t>
        </is>
      </c>
      <c r="E973" s="21" t="inlineStr">
        <is>
          <t>2d6</t>
        </is>
      </c>
      <c r="F973" s="31" t="n">
        <v>1</v>
      </c>
      <c r="G973" s="31" t="n">
        <v>10</v>
      </c>
      <c r="H973" s="31" t="n"/>
      <c r="I973" s="31" t="n"/>
      <c r="J973" s="31" t="n">
        <v>0</v>
      </c>
      <c r="K973" s="31" t="n">
        <v>0</v>
      </c>
      <c r="L973" s="31" t="n">
        <v>0</v>
      </c>
      <c r="M973" s="31" t="n">
        <v>0</v>
      </c>
      <c r="N973" s="21" t="inlineStr"/>
      <c r="O973" s="21" t="n">
        <v>1</v>
      </c>
      <c r="P973" s="21" t="inlineStr">
        <is>
          <t>YES</t>
        </is>
      </c>
      <c r="Q973" s="21" t="inlineStr">
        <is>
          <t>Poor</t>
        </is>
      </c>
      <c r="R973" s="40" t="n">
        <v>20</v>
      </c>
      <c r="S973" s="21" t="inlineStr">
        <is>
          <t>DL:12Gun 6 · DGD 145</t>
        </is>
      </c>
      <c r="T973" s="21" t="inlineStr">
        <is>
          <t>The Teen Dreem is a Poor Quality Exotic SMG with a 10-shot capacity. Unlike other weapons, this weapon can use Autofire and Suppressive Fire as long as it has at least 2 bullets in the magazine, both of which drain the m</t>
        </is>
      </c>
    </row>
    <row r="974">
      <c r="A974" s="21" t="inlineStr">
        <is>
          <t>Shotgun</t>
        </is>
      </c>
      <c r="B974" s="21" t="inlineStr">
        <is>
          <t>Огнестрельное оружие</t>
        </is>
      </c>
      <c r="C974" s="21" t="inlineStr">
        <is>
          <t>Shotgun</t>
        </is>
      </c>
      <c r="D974" s="21" t="inlineStr">
        <is>
          <t>Shoulder Arms</t>
        </is>
      </c>
      <c r="E974" s="21" t="inlineStr">
        <is>
          <t>5d6</t>
        </is>
      </c>
      <c r="F974" s="31" t="n">
        <v>1</v>
      </c>
      <c r="G974" s="31" t="n">
        <v>4</v>
      </c>
      <c r="H974" s="31" t="n"/>
      <c r="I974" s="31" t="n"/>
      <c r="J974" s="31" t="n">
        <v>0</v>
      </c>
      <c r="K974" s="31" t="n">
        <v>0</v>
      </c>
      <c r="L974" s="31" t="n">
        <v>0</v>
      </c>
      <c r="M974" s="31" t="n">
        <v>0</v>
      </c>
      <c r="N974" s="21" t="inlineStr"/>
      <c r="O974" s="21" t="n">
        <v>2</v>
      </c>
      <c r="P974" s="21" t="inlineStr">
        <is>
          <t>NO</t>
        </is>
      </c>
      <c r="Q974" s="21" t="inlineStr">
        <is>
          <t>Standard</t>
        </is>
      </c>
      <c r="R974" s="40" t="n">
        <v>500</v>
      </c>
      <c r="S974" s="21" t="inlineStr">
        <is>
          <t>CP:R 341</t>
        </is>
      </c>
      <c r="T974" s="21" t="inlineStr">
        <is>
          <t>Generic Shotgun. Can be flavored as any that is not listed here.</t>
        </is>
      </c>
    </row>
    <row r="975">
      <c r="A975" s="21" t="inlineStr">
        <is>
          <t>Arasaka Neo Rapid Assault 16</t>
        </is>
      </c>
      <c r="B975" s="21" t="inlineStr">
        <is>
          <t>Огнестрельное оружие</t>
        </is>
      </c>
      <c r="C975" s="21" t="inlineStr">
        <is>
          <t>Shotgun</t>
        </is>
      </c>
      <c r="D975" s="21" t="inlineStr">
        <is>
          <t>Shoulder Arms</t>
        </is>
      </c>
      <c r="E975" s="21" t="inlineStr">
        <is>
          <t>5d6</t>
        </is>
      </c>
      <c r="F975" s="31" t="n">
        <v>1</v>
      </c>
      <c r="G975" s="31" t="n">
        <v>16</v>
      </c>
      <c r="H975" s="31" t="n"/>
      <c r="I975" s="31" t="n"/>
      <c r="J975" s="31" t="n">
        <v>0</v>
      </c>
      <c r="K975" s="31" t="n">
        <v>0</v>
      </c>
      <c r="L975" s="31" t="n">
        <v>0</v>
      </c>
      <c r="M975" s="31" t="n">
        <v>0</v>
      </c>
      <c r="N975" s="21" t="inlineStr"/>
      <c r="O975" s="21" t="n">
        <v>2</v>
      </c>
      <c r="P975" s="21" t="inlineStr">
        <is>
          <t>NO</t>
        </is>
      </c>
      <c r="Q975" s="21" t="inlineStr">
        <is>
          <t>Excellent</t>
        </is>
      </c>
      <c r="R975" s="40" t="n">
        <v>1600</v>
      </c>
      <c r="S975" s="21" t="inlineStr">
        <is>
          <t>IR5 116</t>
        </is>
      </c>
      <c r="T975" s="21" t="inlineStr">
        <is>
          <t>Years after receiving backlash from their loyal customer base for their “semi-auto disrespect” of the beloved Rapid Assault 12, Arasaka has begun anew with the Neo Rapid Assault 16. Its high price tag remains a stretch f</t>
        </is>
      </c>
    </row>
    <row r="976">
      <c r="A976" s="21" t="inlineStr">
        <is>
          <t>Araska Rapid Assault</t>
        </is>
      </c>
      <c r="B976" s="21" t="inlineStr">
        <is>
          <t>Огнестрельное оружие</t>
        </is>
      </c>
      <c r="C976" s="21" t="inlineStr">
        <is>
          <t>Shotgun</t>
        </is>
      </c>
      <c r="D976" s="21" t="inlineStr">
        <is>
          <t>Shoulder Arms</t>
        </is>
      </c>
      <c r="E976" s="21" t="inlineStr">
        <is>
          <t>5d6</t>
        </is>
      </c>
      <c r="F976" s="31" t="n">
        <v>1</v>
      </c>
      <c r="G976" s="31" t="n">
        <v>4</v>
      </c>
      <c r="H976" s="31" t="n"/>
      <c r="I976" s="31" t="n"/>
      <c r="J976" s="31" t="n">
        <v>0</v>
      </c>
      <c r="K976" s="31" t="n">
        <v>0</v>
      </c>
      <c r="L976" s="31" t="n">
        <v>0</v>
      </c>
      <c r="M976" s="31" t="n">
        <v>0</v>
      </c>
      <c r="N976" s="21" t="inlineStr"/>
      <c r="O976" s="21" t="n">
        <v>2</v>
      </c>
      <c r="P976" s="21" t="inlineStr">
        <is>
          <t>NO</t>
        </is>
      </c>
      <c r="Q976" s="21" t="inlineStr">
        <is>
          <t>Standard</t>
        </is>
      </c>
      <c r="R976" s="40" t="n">
        <v>500</v>
      </c>
      <c r="S976" s="21" t="inlineStr">
        <is>
          <t>CP:R 342 · DL:TT 8 · IR5 42</t>
        </is>
      </c>
      <c r="T976" s="21" t="inlineStr">
        <is>
          <t>As the 4th Corporate War dragged on and resources grew limited, Arasaka was forced to reengineer its Rapid Assault Shotgun to save on costs. The newer model issued to field troops cut down on the rate of fire, making the</t>
        </is>
      </c>
    </row>
    <row r="977">
      <c r="A977" s="21" t="inlineStr">
        <is>
          <t>Budget Arms Carnage</t>
        </is>
      </c>
      <c r="B977" s="21" t="inlineStr">
        <is>
          <t>Огнестрельное оружие</t>
        </is>
      </c>
      <c r="C977" s="21" t="inlineStr">
        <is>
          <t>Shotgun</t>
        </is>
      </c>
      <c r="D977" s="21" t="inlineStr">
        <is>
          <t>Shoulder Arms</t>
        </is>
      </c>
      <c r="E977" s="21" t="inlineStr">
        <is>
          <t>5d6</t>
        </is>
      </c>
      <c r="F977" s="31" t="n">
        <v>1</v>
      </c>
      <c r="G977" s="31" t="n">
        <v>5</v>
      </c>
      <c r="H977" s="31" t="n"/>
      <c r="I977" s="31" t="n"/>
      <c r="J977" s="31" t="n">
        <v>0</v>
      </c>
      <c r="K977" s="31" t="n">
        <v>0</v>
      </c>
      <c r="L977" s="31" t="n">
        <v>0</v>
      </c>
      <c r="M977" s="31" t="n">
        <v>0</v>
      </c>
      <c r="N977" s="21" t="inlineStr"/>
      <c r="O977" s="21" t="n">
        <v>2</v>
      </c>
      <c r="P977" s="21" t="inlineStr">
        <is>
          <t>NO</t>
        </is>
      </c>
      <c r="Q977" s="21" t="inlineStr">
        <is>
          <t>Poor</t>
        </is>
      </c>
      <c r="R977" s="40" t="n">
        <v>100</v>
      </c>
      <c r="S977" s="21" t="inlineStr">
        <is>
          <t>CEMK 32</t>
        </is>
      </c>
      <c r="T977" s="21" t="inlineStr">
        <is>
          <t>There are weapons that are subtle, weapons that are elegant, and weapons capable of hitting their targets with surgical precision. Budget Arms’ Carnage possesses none of those qualities. Its designers followed one simple</t>
        </is>
      </c>
    </row>
    <row r="978">
      <c r="A978" s="21" t="inlineStr">
        <is>
          <t>Con Arms Hurricane Assault</t>
        </is>
      </c>
      <c r="B978" s="21" t="inlineStr">
        <is>
          <t>Огнестрельное оружие</t>
        </is>
      </c>
      <c r="C978" s="21" t="inlineStr">
        <is>
          <t>Shotgun</t>
        </is>
      </c>
      <c r="D978" s="21" t="inlineStr">
        <is>
          <t>Shoulder Arms</t>
        </is>
      </c>
      <c r="E978" s="21" t="inlineStr">
        <is>
          <t>5d6</t>
        </is>
      </c>
      <c r="F978" s="31" t="n">
        <v>2</v>
      </c>
      <c r="G978" s="31" t="n">
        <v>16</v>
      </c>
      <c r="H978" s="31" t="n"/>
      <c r="I978" s="31" t="n"/>
      <c r="J978" s="31" t="n">
        <v>0</v>
      </c>
      <c r="K978" s="31" t="n">
        <v>0</v>
      </c>
      <c r="L978" s="31" t="n">
        <v>0</v>
      </c>
      <c r="M978" s="31" t="n">
        <v>0</v>
      </c>
      <c r="N978" s="21" t="inlineStr"/>
      <c r="O978" s="21" t="n">
        <v>2</v>
      </c>
      <c r="P978" s="21" t="inlineStr">
        <is>
          <t>NO</t>
        </is>
      </c>
      <c r="Q978" s="21" t="inlineStr">
        <is>
          <t>Standard</t>
        </is>
      </c>
      <c r="R978" s="40" t="n">
        <v>5000</v>
      </c>
      <c r="S978" s="21" t="inlineStr">
        <is>
          <t>CP:R 348</t>
        </is>
      </c>
      <c r="T978" s="21" t="inlineStr">
        <is>
          <t xml:space="preserve">An Exotic 2 ROF Shotgun. It cannot make Aimed Shots. Its drum holds 16 shots. Reloading this weapon requires using two Actions, and thus can only be done over the course of two turns. Firing this weapon requires BODY 11 </t>
        </is>
      </c>
    </row>
    <row r="979">
      <c r="A979" s="21" t="inlineStr">
        <is>
          <t>Faisal’s Dead or Alive</t>
        </is>
      </c>
      <c r="B979" s="21" t="inlineStr">
        <is>
          <t>Огнестрельное оружие</t>
        </is>
      </c>
      <c r="C979" s="21" t="inlineStr">
        <is>
          <t>Shotgun</t>
        </is>
      </c>
      <c r="D979" s="21" t="inlineStr">
        <is>
          <t>Shoulder Arms</t>
        </is>
      </c>
      <c r="E979" s="21" t="inlineStr">
        <is>
          <t>5d6</t>
        </is>
      </c>
      <c r="F979" s="31" t="n">
        <v>1</v>
      </c>
      <c r="G979" s="31" t="inlineStr">
        <is>
          <t>4 / 2</t>
        </is>
      </c>
      <c r="H979" s="31" t="n"/>
      <c r="I979" s="31" t="n"/>
      <c r="J979" s="31" t="n">
        <v>0</v>
      </c>
      <c r="K979" s="31" t="n">
        <v>0</v>
      </c>
      <c r="L979" s="31" t="n">
        <v>0</v>
      </c>
      <c r="M979" s="31" t="n">
        <v>0</v>
      </c>
      <c r="N979" s="21" t="inlineStr"/>
      <c r="O979" s="21" t="n">
        <v>2</v>
      </c>
      <c r="P979" s="21" t="inlineStr">
        <is>
          <t>NO</t>
        </is>
      </c>
      <c r="Q979" s="21" t="inlineStr">
        <is>
          <t>Poor</t>
        </is>
      </c>
      <c r="R979" s="40" t="n">
        <v>500</v>
      </c>
      <c r="S979" s="21" t="inlineStr">
        <is>
          <t>BC 104</t>
        </is>
      </c>
      <c r="T979" s="21" t="inlineStr">
        <is>
          <t>Originally a custom job by renowned Tech Faisal Farah for a bounty hunter who wanted an easier way to land their quarry, this pump-action shotgun includes an integrated net launcher capable of firing up to two nets befor</t>
        </is>
      </c>
    </row>
    <row r="980">
      <c r="A980" s="21" t="inlineStr">
        <is>
          <t>Faisal’s OnlyChance</t>
        </is>
      </c>
      <c r="B980" s="21" t="inlineStr">
        <is>
          <t>Огнестрельное оружие</t>
        </is>
      </c>
      <c r="C980" s="21" t="inlineStr">
        <is>
          <t>Shotgun</t>
        </is>
      </c>
      <c r="D980" s="21" t="inlineStr">
        <is>
          <t>Shoulder Arms</t>
        </is>
      </c>
      <c r="E980" s="21" t="inlineStr">
        <is>
          <t>5d6</t>
        </is>
      </c>
      <c r="F980" s="31" t="n">
        <v>1</v>
      </c>
      <c r="G980" s="31" t="n">
        <v>4</v>
      </c>
      <c r="H980" s="31" t="n"/>
      <c r="I980" s="31" t="n"/>
      <c r="J980" s="31" t="n">
        <v>0</v>
      </c>
      <c r="K980" s="31" t="n">
        <v>0</v>
      </c>
      <c r="L980" s="31" t="n">
        <v>0</v>
      </c>
      <c r="M980" s="31" t="n">
        <v>0</v>
      </c>
      <c r="N980" s="21" t="inlineStr"/>
      <c r="O980" s="21" t="n">
        <v>2</v>
      </c>
      <c r="P980" s="21" t="inlineStr">
        <is>
          <t>NO</t>
        </is>
      </c>
      <c r="Q980" s="21" t="inlineStr">
        <is>
          <t>Poor</t>
        </is>
      </c>
      <c r="R980" s="40" t="n">
        <v>20</v>
      </c>
      <c r="S980" s="21" t="inlineStr">
        <is>
          <t>DL:TT 8 · IR5 42</t>
        </is>
      </c>
      <c r="T980" s="21" t="inlineStr">
        <is>
          <t>Take a fiberglass tube, add a few shells and a firing mechanism, and you have the OnlyChance. These things are cheap and designed for one-time use, as trying to reload them inevitably breaks the firing mechanism. They co</t>
        </is>
      </c>
    </row>
    <row r="981">
      <c r="A981" s="21" t="inlineStr">
        <is>
          <t>Flamethrower</t>
        </is>
      </c>
      <c r="B981" s="21" t="inlineStr">
        <is>
          <t>Огнестрельное оружие</t>
        </is>
      </c>
      <c r="C981" s="21" t="inlineStr">
        <is>
          <t>Shotgun</t>
        </is>
      </c>
      <c r="D981" s="21" t="inlineStr">
        <is>
          <t>Heavy Weapons</t>
        </is>
      </c>
      <c r="E981" s="21" t="inlineStr">
        <is>
          <t>3d6</t>
        </is>
      </c>
      <c r="F981" s="31" t="n">
        <v>1</v>
      </c>
      <c r="G981" s="31" t="n">
        <v>4</v>
      </c>
      <c r="H981" s="31" t="n"/>
      <c r="I981" s="31" t="n"/>
      <c r="J981" s="31" t="n">
        <v>0</v>
      </c>
      <c r="K981" s="31" t="n">
        <v>0</v>
      </c>
      <c r="L981" s="31" t="n">
        <v>0</v>
      </c>
      <c r="M981" s="31" t="n">
        <v>0</v>
      </c>
      <c r="N981" s="21" t="inlineStr"/>
      <c r="O981" s="21" t="n">
        <v>2</v>
      </c>
      <c r="P981" s="21" t="inlineStr">
        <is>
          <t>NO</t>
        </is>
      </c>
      <c r="Q981" s="21" t="inlineStr">
        <is>
          <t>Standard</t>
        </is>
      </c>
      <c r="R981" s="40" t="n">
        <v>500</v>
      </c>
      <c r="S981" s="21" t="inlineStr">
        <is>
          <t>CP:R 348</t>
        </is>
      </c>
      <c r="T981" s="21" t="inlineStr">
        <is>
          <t>An Exotic Shotgun fired with the Heavy Weapons Skill instead of the Shoulder Arms Skill. Mechanically, the flamethrower is a Shotgun that can only fire incendiary shotgun shells (ammunition cost is also the same as Incen</t>
        </is>
      </c>
    </row>
    <row r="982">
      <c r="A982" s="21" t="inlineStr">
        <is>
          <t>Georgia Arms Matchmaker</t>
        </is>
      </c>
      <c r="B982" s="21" t="inlineStr">
        <is>
          <t>Огнестрельное оружие</t>
        </is>
      </c>
      <c r="C982" s="21" t="inlineStr">
        <is>
          <t>Shotgun</t>
        </is>
      </c>
      <c r="D982" s="21" t="inlineStr">
        <is>
          <t>Shoulder Arms</t>
        </is>
      </c>
      <c r="E982" s="21" t="inlineStr">
        <is>
          <t>5d6</t>
        </is>
      </c>
      <c r="F982" s="31" t="n">
        <v>1</v>
      </c>
      <c r="G982" s="31" t="n">
        <v>1</v>
      </c>
      <c r="H982" s="31" t="n"/>
      <c r="I982" s="31" t="n"/>
      <c r="J982" s="31" t="n">
        <v>0</v>
      </c>
      <c r="K982" s="31" t="n">
        <v>0</v>
      </c>
      <c r="L982" s="31" t="n">
        <v>0</v>
      </c>
      <c r="M982" s="31" t="n">
        <v>0</v>
      </c>
      <c r="N982" s="21" t="inlineStr"/>
      <c r="O982" s="21" t="n">
        <v>2</v>
      </c>
      <c r="P982" s="21" t="inlineStr">
        <is>
          <t>NO</t>
        </is>
      </c>
      <c r="Q982" s="21" t="inlineStr">
        <is>
          <t>Poor</t>
        </is>
      </c>
      <c r="R982" s="40" t="n">
        <v>20</v>
      </c>
      <c r="S982" s="21" t="inlineStr">
        <is>
          <t>BC 105</t>
        </is>
      </c>
      <c r="T982" s="21" t="inlineStr">
        <is>
          <t xml:space="preserve">The Georgia Arms Matchmaker is a simple slam-fire shotgun designed by dissidents who needed arms to use against SovOil. The Matchmaker isn’t a great weapon since it is made entirely of common plumbing supplies. This gun </t>
        </is>
      </c>
    </row>
    <row r="983">
      <c r="A983" s="21" t="inlineStr">
        <is>
          <t>GunMart Bubba Buster</t>
        </is>
      </c>
      <c r="B983" s="21" t="inlineStr">
        <is>
          <t>Огнестрельное оружие</t>
        </is>
      </c>
      <c r="C983" s="21" t="inlineStr">
        <is>
          <t>Shotgun</t>
        </is>
      </c>
      <c r="D983" s="21" t="inlineStr">
        <is>
          <t>Shoulder Arms</t>
        </is>
      </c>
      <c r="E983" s="21" t="inlineStr">
        <is>
          <t>5d6</t>
        </is>
      </c>
      <c r="F983" s="31" t="n">
        <v>1</v>
      </c>
      <c r="G983" s="31" t="n">
        <v>4</v>
      </c>
      <c r="H983" s="31" t="n"/>
      <c r="I983" s="31" t="n"/>
      <c r="J983" s="31" t="n">
        <v>0</v>
      </c>
      <c r="K983" s="31" t="n">
        <v>0</v>
      </c>
      <c r="L983" s="31" t="n">
        <v>0</v>
      </c>
      <c r="M983" s="31" t="n">
        <v>0</v>
      </c>
      <c r="N983" s="21" t="inlineStr"/>
      <c r="O983" s="21" t="n">
        <v>2</v>
      </c>
      <c r="P983" s="21" t="inlineStr">
        <is>
          <t>NO</t>
        </is>
      </c>
      <c r="Q983" s="21" t="inlineStr">
        <is>
          <t>Poor</t>
        </is>
      </c>
      <c r="R983" s="40" t="n">
        <v>50</v>
      </c>
      <c r="S983" s="21" t="inlineStr">
        <is>
          <t>BC 106</t>
        </is>
      </c>
      <c r="T983" s="21" t="inlineStr">
        <is>
          <t>GunMart markets the Bubba Buster as the only shotgun you’ll ever need for those “close encounters.” The Bubba Buster is a simple shotgun, but its extra loud pump-action is enough to make anyone pause — even in 2045, noth</t>
        </is>
      </c>
    </row>
    <row r="984">
      <c r="A984" s="21" t="inlineStr">
        <is>
          <t>GunMart Home Defender</t>
        </is>
      </c>
      <c r="B984" s="21" t="inlineStr">
        <is>
          <t>Огнестрельное оружие</t>
        </is>
      </c>
      <c r="C984" s="21" t="inlineStr">
        <is>
          <t>Shotgun</t>
        </is>
      </c>
      <c r="D984" s="21" t="inlineStr">
        <is>
          <t>Shoulder Arms</t>
        </is>
      </c>
      <c r="E984" s="21" t="inlineStr">
        <is>
          <t>5d6</t>
        </is>
      </c>
      <c r="F984" s="31" t="n">
        <v>1</v>
      </c>
      <c r="G984" s="31" t="n">
        <v>4</v>
      </c>
      <c r="H984" s="31" t="n"/>
      <c r="I984" s="31" t="n"/>
      <c r="J984" s="31" t="n">
        <v>0</v>
      </c>
      <c r="K984" s="31" t="n">
        <v>0</v>
      </c>
      <c r="L984" s="31" t="n">
        <v>0</v>
      </c>
      <c r="M984" s="31" t="n">
        <v>0</v>
      </c>
      <c r="N984" s="21" t="inlineStr"/>
      <c r="O984" s="21" t="n">
        <v>2</v>
      </c>
      <c r="P984" s="21" t="inlineStr">
        <is>
          <t>NO</t>
        </is>
      </c>
      <c r="Q984" s="21" t="inlineStr">
        <is>
          <t>Poor</t>
        </is>
      </c>
      <c r="R984" s="40" t="n">
        <v>100</v>
      </c>
      <c r="S984" s="21" t="inlineStr">
        <is>
          <t>CP:R 342 · DL:TT 8 · IR5 42</t>
        </is>
      </c>
      <c r="T984" s="21" t="inlineStr">
        <is>
          <t>This is a shotgun from GunMart, so you’re probably better off leaving it behind if the zombie apocalypse comes. Nine times out of ten, the gun shoots fine. The tenth time is when it jams, and the zombies swarm you. A Poo</t>
        </is>
      </c>
    </row>
    <row r="985">
      <c r="A985" s="21" t="inlineStr">
        <is>
          <t>Hades Multipurpose Assault</t>
        </is>
      </c>
      <c r="B985" s="21" t="inlineStr">
        <is>
          <t>Огнестрельное оружие</t>
        </is>
      </c>
      <c r="C985" s="21" t="inlineStr">
        <is>
          <t>Shotgun</t>
        </is>
      </c>
      <c r="D985" s="21" t="inlineStr">
        <is>
          <t>Shoulder Arms</t>
        </is>
      </c>
      <c r="E985" s="21" t="inlineStr">
        <is>
          <t>5d6</t>
        </is>
      </c>
      <c r="F985" s="31" t="n">
        <v>1</v>
      </c>
      <c r="G985" s="31" t="n">
        <v>16</v>
      </c>
      <c r="H985" s="31" t="n"/>
      <c r="I985" s="31" t="n"/>
      <c r="J985" s="31" t="n">
        <v>0</v>
      </c>
      <c r="K985" s="31" t="n">
        <v>0</v>
      </c>
      <c r="L985" s="31" t="n">
        <v>0</v>
      </c>
      <c r="M985" s="31" t="n">
        <v>0</v>
      </c>
      <c r="N985" s="21" t="inlineStr"/>
      <c r="O985" s="21" t="n">
        <v>2</v>
      </c>
      <c r="P985" s="21" t="inlineStr">
        <is>
          <t>NO</t>
        </is>
      </c>
      <c r="Q985" s="21" t="inlineStr">
        <is>
          <t>Standard</t>
        </is>
      </c>
      <c r="R985" s="40" t="n">
        <v>5000</v>
      </c>
      <c r="S985" s="21" t="inlineStr">
        <is>
          <t>BC 109</t>
        </is>
      </c>
      <c r="T985" s="21" t="inlineStr">
        <is>
          <t>MetaCorp designed the Hades Multipurpose Assault Shotgun to fill the role of five weapons. Why carry a whole arsenal when the Hades is all you need to stop a charging vehicle, clear the enemy at range, and sweep a buildi</t>
        </is>
      </c>
    </row>
    <row r="986">
      <c r="A986" s="21" t="inlineStr">
        <is>
          <t>Hello Cutie My Friend the Ocelot</t>
        </is>
      </c>
      <c r="B986" s="21" t="inlineStr">
        <is>
          <t>Огнестрельное оружие</t>
        </is>
      </c>
      <c r="C986" s="21" t="inlineStr">
        <is>
          <t>Shotgun</t>
        </is>
      </c>
      <c r="D986" s="21" t="inlineStr">
        <is>
          <t>Shoulder Arms</t>
        </is>
      </c>
      <c r="E986" s="21" t="inlineStr">
        <is>
          <t>5d6</t>
        </is>
      </c>
      <c r="F986" s="31" t="n">
        <v>1</v>
      </c>
      <c r="G986" s="31" t="n">
        <v>12</v>
      </c>
      <c r="H986" s="31" t="n"/>
      <c r="I986" s="31" t="n"/>
      <c r="J986" s="31" t="n">
        <v>0</v>
      </c>
      <c r="K986" s="31" t="n">
        <v>0</v>
      </c>
      <c r="L986" s="31" t="n">
        <v>0</v>
      </c>
      <c r="M986" s="31" t="n">
        <v>0</v>
      </c>
      <c r="N986" s="21" t="inlineStr"/>
      <c r="O986" s="21" t="n">
        <v>2</v>
      </c>
      <c r="P986" s="21" t="inlineStr">
        <is>
          <t>NO</t>
        </is>
      </c>
      <c r="Q986" s="21" t="inlineStr">
        <is>
          <t>Excellent</t>
        </is>
      </c>
      <c r="R986" s="40" t="n">
        <v>1500</v>
      </c>
      <c r="S986" s="21" t="inlineStr">
        <is>
          <t>DL:12Cute 6</t>
        </is>
      </c>
      <c r="T986" s="21" t="inlineStr">
        <is>
          <t>A loyal feline that will never leave you undefended, My Friend The Ocelot is all the fun of an interactive digital pet in the form of a powerful home defense solution. Covered in Ocelot patterned Realskinn™, this fuzzy w</t>
        </is>
      </c>
    </row>
    <row r="987">
      <c r="A987" s="21" t="inlineStr">
        <is>
          <t>Kang Tao L-69 Zhuo</t>
        </is>
      </c>
      <c r="B987" s="21" t="inlineStr">
        <is>
          <t>Огнестрельное оружие</t>
        </is>
      </c>
      <c r="C987" s="21" t="inlineStr">
        <is>
          <t>Shotgun</t>
        </is>
      </c>
      <c r="D987" s="21" t="inlineStr">
        <is>
          <t>Shoulder Arms</t>
        </is>
      </c>
      <c r="E987" s="21" t="inlineStr">
        <is>
          <t>5d6</t>
        </is>
      </c>
      <c r="F987" s="31" t="n">
        <v>1</v>
      </c>
      <c r="G987" s="31" t="n">
        <v>32</v>
      </c>
      <c r="H987" s="31" t="n"/>
      <c r="I987" s="31" t="n"/>
      <c r="J987" s="31" t="n">
        <v>0</v>
      </c>
      <c r="K987" s="31" t="n">
        <v>0</v>
      </c>
      <c r="L987" s="31" t="n">
        <v>0</v>
      </c>
      <c r="M987" s="31" t="n">
        <v>0</v>
      </c>
      <c r="N987" s="21" t="inlineStr"/>
      <c r="O987" s="21" t="n">
        <v>2</v>
      </c>
      <c r="P987" s="21" t="inlineStr">
        <is>
          <t>NO</t>
        </is>
      </c>
      <c r="Q987" s="21" t="inlineStr">
        <is>
          <t>Standard</t>
        </is>
      </c>
      <c r="R987" s="40" t="n">
        <v>1000</v>
      </c>
      <c r="S987" s="21" t="inlineStr">
        <is>
          <t>CEMK 32</t>
        </is>
      </c>
      <c r="T987" s="21" t="inlineStr">
        <is>
          <t>Shotguns aren’t exactly known for finesse: While undoubtedly powerful, they often suffer from clunkiness and imprecision. That is, except for the L-69 Zhuo by Kang Tao. Just like the other weapons manufactured by the Chi</t>
        </is>
      </c>
    </row>
    <row r="988">
      <c r="A988" s="21" t="inlineStr">
        <is>
          <t>Kendachi Dragon</t>
        </is>
      </c>
      <c r="B988" s="21" t="inlineStr">
        <is>
          <t>Огнестрельное оружие</t>
        </is>
      </c>
      <c r="C988" s="21" t="inlineStr">
        <is>
          <t>Shotgun</t>
        </is>
      </c>
      <c r="D988" s="21" t="inlineStr">
        <is>
          <t>Heavy Weapons</t>
        </is>
      </c>
      <c r="E988" s="21" t="inlineStr">
        <is>
          <t>3d6</t>
        </is>
      </c>
      <c r="F988" s="31" t="n">
        <v>1</v>
      </c>
      <c r="G988" s="31" t="n">
        <v>2</v>
      </c>
      <c r="H988" s="31" t="n"/>
      <c r="I988" s="31" t="n"/>
      <c r="J988" s="31" t="n">
        <v>0</v>
      </c>
      <c r="K988" s="31" t="n">
        <v>0</v>
      </c>
      <c r="L988" s="31" t="n">
        <v>0</v>
      </c>
      <c r="M988" s="31" t="n">
        <v>0</v>
      </c>
      <c r="N988" s="21" t="inlineStr"/>
      <c r="O988" s="21" t="n">
        <v>2</v>
      </c>
      <c r="P988" s="21" t="inlineStr">
        <is>
          <t>NO</t>
        </is>
      </c>
      <c r="Q988" s="21" t="inlineStr">
        <is>
          <t>Standard</t>
        </is>
      </c>
      <c r="R988" s="40" t="n">
        <v>1000</v>
      </c>
      <c r="S988" s="21" t="inlineStr">
        <is>
          <t>DL:12Gun 3 · DGD 144 · IR2 59</t>
        </is>
      </c>
      <c r="T988" s="21" t="inlineStr">
        <is>
          <t>A 2020 classic. Everyone's favorite hand-held flamer still provides fiery destruction at your fingertips. A One-Handed Exotic Shotgun with a 2 shot capacity that is fired with the Heavy Weapons Skill instead of the Shoul</t>
        </is>
      </c>
    </row>
    <row r="989">
      <c r="A989" s="21" t="inlineStr">
        <is>
          <t>KTech TechHammer</t>
        </is>
      </c>
      <c r="B989" s="21" t="inlineStr">
        <is>
          <t>Огнестрельное оружие</t>
        </is>
      </c>
      <c r="C989" s="21" t="inlineStr">
        <is>
          <t>Shotgun</t>
        </is>
      </c>
      <c r="D989" s="21" t="inlineStr">
        <is>
          <t>Shoulder Arms / Heavy Weapons</t>
        </is>
      </c>
      <c r="E989" s="21" t="inlineStr">
        <is>
          <t>5d6/8</t>
        </is>
      </c>
      <c r="F989" s="31" t="n">
        <v>1</v>
      </c>
      <c r="G989" s="31" t="inlineStr">
        <is>
          <t>4 / 2</t>
        </is>
      </c>
      <c r="H989" s="31" t="n"/>
      <c r="I989" s="31" t="n"/>
      <c r="J989" s="31" t="n">
        <v>0</v>
      </c>
      <c r="K989" s="31" t="n">
        <v>0</v>
      </c>
      <c r="L989" s="31" t="n">
        <v>0</v>
      </c>
      <c r="M989" s="31" t="n">
        <v>0</v>
      </c>
      <c r="N989" s="21" t="inlineStr"/>
      <c r="O989" s="21" t="n">
        <v>2</v>
      </c>
      <c r="P989" s="21" t="inlineStr">
        <is>
          <t>NO</t>
        </is>
      </c>
      <c r="Q989" s="21" t="inlineStr">
        <is>
          <t>Standard</t>
        </is>
      </c>
      <c r="R989" s="40" t="n">
        <v>1000</v>
      </c>
      <c r="S989" s="21" t="inlineStr">
        <is>
          <t>BC 110</t>
        </is>
      </c>
      <c r="T989" s="21" t="inlineStr">
        <is>
          <t>The TechHammer by KTech is a multipurpose assault shotgun capable of leveling multiple targets or dropping a larger one with a single pull of the trigger. Designed for frontline engagements, the TechHammer comes with a f</t>
        </is>
      </c>
    </row>
    <row r="990">
      <c r="A990" s="21" t="inlineStr">
        <is>
          <t>Militech Aegis</t>
        </is>
      </c>
      <c r="B990" s="21" t="inlineStr">
        <is>
          <t>Огнестрельное оружие</t>
        </is>
      </c>
      <c r="C990" s="21" t="inlineStr">
        <is>
          <t>Shotgun</t>
        </is>
      </c>
      <c r="D990" s="21" t="inlineStr">
        <is>
          <t>Shoulder Arms</t>
        </is>
      </c>
      <c r="E990" s="21" t="inlineStr">
        <is>
          <t>4d6</t>
        </is>
      </c>
      <c r="F990" s="31" t="n">
        <v>1</v>
      </c>
      <c r="G990" s="31" t="n">
        <v>4</v>
      </c>
      <c r="H990" s="31" t="n"/>
      <c r="I990" s="31" t="n"/>
      <c r="J990" s="31" t="n">
        <v>0</v>
      </c>
      <c r="K990" s="31" t="n">
        <v>0</v>
      </c>
      <c r="L990" s="31" t="n">
        <v>0</v>
      </c>
      <c r="M990" s="31" t="n">
        <v>0</v>
      </c>
      <c r="N990" s="21" t="inlineStr"/>
      <c r="O990" s="21" t="n">
        <v>2</v>
      </c>
      <c r="P990" s="21" t="inlineStr">
        <is>
          <t>NO</t>
        </is>
      </c>
      <c r="Q990" s="21" t="inlineStr">
        <is>
          <t>Poor</t>
        </is>
      </c>
      <c r="R990" s="40" t="n">
        <v>1000</v>
      </c>
      <c r="S990" s="21" t="inlineStr">
        <is>
          <t>DL:WG 4 · IR3 28</t>
        </is>
      </c>
      <c r="T990" s="21" t="inlineStr">
        <is>
          <t>These are pretty ancient, actually. I recovered them from a sunken airtight shipping container that I think was supposed to be delivered to the NCPD for testing. The date on the manifest was a week after the Fourth Corpo</t>
        </is>
      </c>
    </row>
    <row r="991">
      <c r="A991" s="21" t="inlineStr">
        <is>
          <t>Midnight Arms Beast</t>
        </is>
      </c>
      <c r="B991" s="21" t="inlineStr">
        <is>
          <t>Огнестрельное оружие</t>
        </is>
      </c>
      <c r="C991" s="21" t="inlineStr">
        <is>
          <t>Shotgun</t>
        </is>
      </c>
      <c r="D991" s="21" t="inlineStr">
        <is>
          <t>Shoulder Arms</t>
        </is>
      </c>
      <c r="E991" s="21" t="inlineStr">
        <is>
          <t>5d6</t>
        </is>
      </c>
      <c r="F991" s="31" t="n">
        <v>1</v>
      </c>
      <c r="G991" s="31" t="n">
        <v>40</v>
      </c>
      <c r="H991" s="31" t="n"/>
      <c r="I991" s="31" t="n"/>
      <c r="J991" s="31" t="n">
        <v>0</v>
      </c>
      <c r="K991" s="31" t="n">
        <v>0</v>
      </c>
      <c r="L991" s="31" t="n">
        <v>0</v>
      </c>
      <c r="M991" s="31" t="n">
        <v>0</v>
      </c>
      <c r="N991" s="21" t="inlineStr"/>
      <c r="O991" s="21" t="n">
        <v>2</v>
      </c>
      <c r="P991" s="21" t="inlineStr">
        <is>
          <t>NO</t>
        </is>
      </c>
      <c r="Q991" s="21" t="inlineStr">
        <is>
          <t>Standard</t>
        </is>
      </c>
      <c r="R991" s="40" t="n">
        <v>1000</v>
      </c>
      <c r="S991" s="21" t="inlineStr">
        <is>
          <t>BC 111</t>
        </is>
      </c>
      <c r="T991" s="21" t="inlineStr">
        <is>
          <t>Designed for sheer terror out of rugged polymer with a titanium framework, the Beast always comes all in black and chrome. The ammo box holds 40 shots that auto-feed into the shotgun. Pressure-release valves hiss with ev</t>
        </is>
      </c>
    </row>
    <row r="992">
      <c r="A992" s="21" t="inlineStr">
        <is>
          <t>Militech Bulldog</t>
        </is>
      </c>
      <c r="B992" s="21" t="inlineStr">
        <is>
          <t>Огнестрельное оружие</t>
        </is>
      </c>
      <c r="C992" s="21" t="inlineStr">
        <is>
          <t>Shotgun</t>
        </is>
      </c>
      <c r="D992" s="21" t="inlineStr">
        <is>
          <t>Shoulder Arms</t>
        </is>
      </c>
      <c r="E992" s="21" t="inlineStr">
        <is>
          <t>5d6</t>
        </is>
      </c>
      <c r="F992" s="31" t="n">
        <v>1</v>
      </c>
      <c r="G992" s="31" t="n">
        <v>4</v>
      </c>
      <c r="H992" s="31" t="n"/>
      <c r="I992" s="31" t="n"/>
      <c r="J992" s="31" t="n">
        <v>0</v>
      </c>
      <c r="K992" s="31" t="n">
        <v>0</v>
      </c>
      <c r="L992" s="31" t="n">
        <v>0</v>
      </c>
      <c r="M992" s="31" t="n">
        <v>0</v>
      </c>
      <c r="N992" s="21" t="inlineStr"/>
      <c r="O992" s="21" t="n">
        <v>2</v>
      </c>
      <c r="P992" s="21" t="inlineStr">
        <is>
          <t>NO</t>
        </is>
      </c>
      <c r="Q992" s="21" t="inlineStr">
        <is>
          <t>Excellent</t>
        </is>
      </c>
      <c r="R992" s="40" t="n">
        <v>1000</v>
      </c>
      <c r="S992" s="21" t="inlineStr">
        <is>
          <t>CP:R 342 · DL:TT 8 · IR5 42</t>
        </is>
      </c>
      <c r="T992" s="21" t="inlineStr">
        <is>
          <t>Whichever Corp was supplying parts for auto-shotguns must have died early during the 4th Corporate War, because Militech downgraded their famed Bulldog much like Arasaka did their Rapid Shot. Still, while the Bulldogs yo</t>
        </is>
      </c>
    </row>
    <row r="993">
      <c r="A993" s="21" t="inlineStr">
        <is>
          <t>Mustang Arms Deathstalker</t>
        </is>
      </c>
      <c r="B993" s="21" t="inlineStr">
        <is>
          <t>Огнестрельное оружие</t>
        </is>
      </c>
      <c r="C993" s="21" t="inlineStr">
        <is>
          <t>Shotgun</t>
        </is>
      </c>
      <c r="D993" s="21" t="inlineStr">
        <is>
          <t>Shoulder Arms</t>
        </is>
      </c>
      <c r="E993" s="21" t="inlineStr">
        <is>
          <t>5d6</t>
        </is>
      </c>
      <c r="F993" s="31" t="n">
        <v>1</v>
      </c>
      <c r="G993" s="31" t="n">
        <v>4</v>
      </c>
      <c r="H993" s="31" t="n"/>
      <c r="I993" s="31" t="n"/>
      <c r="J993" s="31" t="n">
        <v>0</v>
      </c>
      <c r="K993" s="31" t="n">
        <v>0</v>
      </c>
      <c r="L993" s="31" t="n">
        <v>0</v>
      </c>
      <c r="M993" s="31" t="n">
        <v>0</v>
      </c>
      <c r="N993" s="21" t="inlineStr"/>
      <c r="O993" s="21" t="n">
        <v>2</v>
      </c>
      <c r="P993" s="21" t="inlineStr">
        <is>
          <t>NO</t>
        </is>
      </c>
      <c r="Q993" s="21" t="inlineStr">
        <is>
          <t>Standard</t>
        </is>
      </c>
      <c r="R993" s="40" t="n">
        <v>600</v>
      </c>
      <c r="S993" s="21" t="inlineStr">
        <is>
          <t>DL:TT 8 · IR5 42</t>
        </is>
      </c>
      <c r="T993" s="21" t="inlineStr">
        <is>
          <t>Troops often use shotguns to deal maximum damage at close range, so Mustang Arms added a “poison stinger” to the Deathstalker to allow for more variety when choosing how to kill a target. A Standard Quality Shotgun. It c</t>
        </is>
      </c>
    </row>
    <row r="994">
      <c r="A994" s="21" t="inlineStr">
        <is>
          <t>Nomad Air Cannon</t>
        </is>
      </c>
      <c r="B994" s="21" t="inlineStr">
        <is>
          <t>Огнестрельное оружие</t>
        </is>
      </c>
      <c r="C994" s="21" t="inlineStr">
        <is>
          <t>Shotgun</t>
        </is>
      </c>
      <c r="D994" s="21" t="inlineStr">
        <is>
          <t>Shoulder Arms</t>
        </is>
      </c>
      <c r="E994" s="21" t="inlineStr">
        <is>
          <t>N/A</t>
        </is>
      </c>
      <c r="F994" s="31" t="n">
        <v>1</v>
      </c>
      <c r="G994" s="31" t="n">
        <v>1</v>
      </c>
      <c r="H994" s="31" t="n"/>
      <c r="I994" s="31" t="n"/>
      <c r="J994" s="31" t="n">
        <v>0</v>
      </c>
      <c r="K994" s="31" t="n">
        <v>0</v>
      </c>
      <c r="L994" s="31" t="n">
        <v>0</v>
      </c>
      <c r="M994" s="31" t="n">
        <v>0</v>
      </c>
      <c r="N994" s="21" t="inlineStr"/>
      <c r="O994" s="21" t="n">
        <v>2</v>
      </c>
      <c r="P994" s="21" t="inlineStr">
        <is>
          <t>NO</t>
        </is>
      </c>
      <c r="Q994" s="21" t="inlineStr">
        <is>
          <t>Standard</t>
        </is>
      </c>
      <c r="R994" s="40" t="n">
        <v>1000</v>
      </c>
      <c r="S994" s="21" t="inlineStr">
        <is>
          <t>DL:WG 4 · DGD 145 · IR3 28</t>
        </is>
      </c>
      <c r="T994" s="21" t="inlineStr">
        <is>
          <t>My cousin makes these! We mostly use them for scaring away animals, but they also work real well to soften up an over-armored static or clean them off your newly sealed driveway. A liquid launching air cannon. Mechanical</t>
        </is>
      </c>
    </row>
    <row r="995">
      <c r="A995" s="21" t="inlineStr">
        <is>
          <t>Rostović DB-2 Satara</t>
        </is>
      </c>
      <c r="B995" s="21" t="inlineStr">
        <is>
          <t>Огнестрельное оружие</t>
        </is>
      </c>
      <c r="C995" s="21" t="inlineStr">
        <is>
          <t>Shotgun</t>
        </is>
      </c>
      <c r="D995" s="21" t="inlineStr">
        <is>
          <t>Shoulder Arms</t>
        </is>
      </c>
      <c r="E995" s="21" t="inlineStr">
        <is>
          <t>5d6</t>
        </is>
      </c>
      <c r="F995" s="31" t="n">
        <v>1</v>
      </c>
      <c r="G995" s="31" t="n">
        <v>2</v>
      </c>
      <c r="H995" s="31" t="n"/>
      <c r="I995" s="31" t="n"/>
      <c r="J995" s="31" t="n">
        <v>0</v>
      </c>
      <c r="K995" s="31" t="n">
        <v>0</v>
      </c>
      <c r="L995" s="31" t="n">
        <v>0</v>
      </c>
      <c r="M995" s="31" t="n">
        <v>0</v>
      </c>
      <c r="N995" s="21" t="inlineStr"/>
      <c r="O995" s="21" t="n">
        <v>2</v>
      </c>
      <c r="P995" s="21" t="inlineStr">
        <is>
          <t>NO</t>
        </is>
      </c>
      <c r="Q995" s="21" t="inlineStr">
        <is>
          <t>Standard</t>
        </is>
      </c>
      <c r="R995" s="40" t="n">
        <v>500</v>
      </c>
      <c r="S995" s="21" t="inlineStr">
        <is>
          <t>CEMK 33</t>
        </is>
      </c>
      <c r="T995" s="21" t="inlineStr">
        <is>
          <t>The Satara is an unusual breed both because of its bizarre appearance and its unconventional technological foundation. Critics argue the weapon’s heaviness and bulkiness make it unreasonably inconvenient for practical us</t>
        </is>
      </c>
    </row>
    <row r="996">
      <c r="A996" s="21" t="inlineStr">
        <is>
          <t>Rostović Ulični Uništitelj</t>
        </is>
      </c>
      <c r="B996" s="21" t="inlineStr">
        <is>
          <t>Огнестрельное оружие</t>
        </is>
      </c>
      <c r="C996" s="21" t="inlineStr">
        <is>
          <t>Shotgun</t>
        </is>
      </c>
      <c r="D996" s="21" t="inlineStr">
        <is>
          <t>Shoulder Arms</t>
        </is>
      </c>
      <c r="E996" s="21" t="inlineStr">
        <is>
          <t>3d6/4</t>
        </is>
      </c>
      <c r="F996" s="31" t="n">
        <v>1</v>
      </c>
      <c r="G996" s="31" t="n">
        <v>4</v>
      </c>
      <c r="H996" s="31" t="n"/>
      <c r="I996" s="31" t="n"/>
      <c r="J996" s="31" t="n">
        <v>0</v>
      </c>
      <c r="K996" s="31" t="n">
        <v>0</v>
      </c>
      <c r="L996" s="31" t="n">
        <v>0</v>
      </c>
      <c r="M996" s="31" t="n">
        <v>0</v>
      </c>
      <c r="N996" s="21" t="inlineStr"/>
      <c r="O996" s="21" t="n">
        <v>2</v>
      </c>
      <c r="P996" s="21" t="inlineStr">
        <is>
          <t>NO</t>
        </is>
      </c>
      <c r="Q996" s="21" t="inlineStr">
        <is>
          <t>Poor</t>
        </is>
      </c>
      <c r="R996" s="40" t="n">
        <v>1000</v>
      </c>
      <c r="S996" s="21" t="inlineStr">
        <is>
          <t>BC 117</t>
        </is>
      </c>
      <c r="T996" s="21" t="inlineStr">
        <is>
          <t>The Rostović Ulični Uništitelj was originally designed to be a triple-barrel shotgun enhanced by a magnetic rail stabilization system but it didn’t take long for users to realize that they could dump scrap metal down the</t>
        </is>
      </c>
    </row>
    <row r="997">
      <c r="A997" s="21" t="inlineStr">
        <is>
          <t>SlamDance ElectroMag</t>
        </is>
      </c>
      <c r="B997" s="21" t="inlineStr">
        <is>
          <t>Огнестрельное оружие</t>
        </is>
      </c>
      <c r="C997" s="21" t="inlineStr">
        <is>
          <t>Shotgun</t>
        </is>
      </c>
      <c r="D997" s="21" t="inlineStr">
        <is>
          <t>Shoulder Arms</t>
        </is>
      </c>
      <c r="E997" s="21" t="inlineStr">
        <is>
          <t>5d6</t>
        </is>
      </c>
      <c r="F997" s="31" t="n">
        <v>1</v>
      </c>
      <c r="G997" s="31" t="n">
        <v>4</v>
      </c>
      <c r="H997" s="31" t="n"/>
      <c r="I997" s="31" t="n"/>
      <c r="J997" s="31" t="n">
        <v>0</v>
      </c>
      <c r="K997" s="31" t="n">
        <v>0</v>
      </c>
      <c r="L997" s="31" t="n">
        <v>0</v>
      </c>
      <c r="M997" s="31" t="n">
        <v>0</v>
      </c>
      <c r="N997" s="21" t="inlineStr"/>
      <c r="O997" s="21" t="n">
        <v>2</v>
      </c>
      <c r="P997" s="21" t="inlineStr">
        <is>
          <t>NO</t>
        </is>
      </c>
      <c r="Q997" s="21" t="inlineStr">
        <is>
          <t>Standard</t>
        </is>
      </c>
      <c r="R997" s="40" t="n">
        <v>500</v>
      </c>
      <c r="S997" s="21" t="inlineStr">
        <is>
          <t>DL:TT 9 · IR5 43</t>
        </is>
      </c>
      <c r="T997" s="21" t="inlineStr">
        <is>
          <t>Using magnets to solve an age old problem, the ElectroMag can compress or draw apart the metal shot inside the loaded ammunition, allowing the user to choose between shells and slugs on the fly. A Standard Quality Shotgu</t>
        </is>
      </c>
    </row>
    <row r="998">
      <c r="A998" s="21" t="inlineStr">
        <is>
          <t>UT Burst Flamethrower</t>
        </is>
      </c>
      <c r="B998" s="21" t="inlineStr">
        <is>
          <t>Огнестрельное оружие</t>
        </is>
      </c>
      <c r="C998" s="21" t="inlineStr">
        <is>
          <t>Shotgun</t>
        </is>
      </c>
      <c r="D998" s="21" t="inlineStr">
        <is>
          <t>Shoulder Arms / Heavy Weapons</t>
        </is>
      </c>
      <c r="E998" s="21" t="inlineStr">
        <is>
          <t>5d6</t>
        </is>
      </c>
      <c r="F998" s="31" t="n">
        <v>1</v>
      </c>
      <c r="G998" s="31" t="n">
        <v>4</v>
      </c>
      <c r="H998" s="31" t="n"/>
      <c r="I998" s="31" t="n"/>
      <c r="J998" s="31" t="n">
        <v>0</v>
      </c>
      <c r="K998" s="31" t="n">
        <v>0</v>
      </c>
      <c r="L998" s="31" t="n">
        <v>0</v>
      </c>
      <c r="M998" s="31" t="n">
        <v>0</v>
      </c>
      <c r="N998" s="21" t="inlineStr"/>
      <c r="O998" s="21" t="n">
        <v>2</v>
      </c>
      <c r="P998" s="21" t="inlineStr">
        <is>
          <t>NO</t>
        </is>
      </c>
      <c r="Q998" s="21" t="inlineStr">
        <is>
          <t>Standard</t>
        </is>
      </c>
      <c r="R998" s="40" t="n">
        <v>1000</v>
      </c>
      <c r="S998" s="21" t="inlineStr">
        <is>
          <t>DL:WG 5 · IR3 29</t>
        </is>
      </c>
      <c r="T998" s="21" t="inlineStr">
        <is>
          <t xml:space="preserve">Personally, not my thing. I like the clothes I wear and I don’t like replacing them. But if I don’t supply them, my customers will just get them from Hornet, and I don’t let money walk out of my garage if I can help it. </t>
        </is>
      </c>
    </row>
    <row r="999">
      <c r="A999" s="21" t="inlineStr">
        <is>
          <t>Sniper Rifle</t>
        </is>
      </c>
      <c r="B999" s="21" t="inlineStr">
        <is>
          <t>Огнестрельное оружие</t>
        </is>
      </c>
      <c r="C999" s="21" t="inlineStr">
        <is>
          <t>Sniper Rifle</t>
        </is>
      </c>
      <c r="D999" s="21" t="inlineStr">
        <is>
          <t>Shoulder Arms</t>
        </is>
      </c>
      <c r="E999" s="21" t="inlineStr">
        <is>
          <t>5d6</t>
        </is>
      </c>
      <c r="F999" s="31" t="n">
        <v>1</v>
      </c>
      <c r="G999" s="31" t="n">
        <v>4</v>
      </c>
      <c r="H999" s="31" t="n"/>
      <c r="I999" s="31" t="n"/>
      <c r="J999" s="31" t="n">
        <v>0</v>
      </c>
      <c r="K999" s="31" t="n">
        <v>0</v>
      </c>
      <c r="L999" s="31" t="n">
        <v>0</v>
      </c>
      <c r="M999" s="31" t="n">
        <v>0</v>
      </c>
      <c r="N999" s="21" t="inlineStr"/>
      <c r="O999" s="21" t="n">
        <v>2</v>
      </c>
      <c r="P999" s="21" t="inlineStr">
        <is>
          <t>NO</t>
        </is>
      </c>
      <c r="Q999" s="21" t="inlineStr">
        <is>
          <t>Standard</t>
        </is>
      </c>
      <c r="R999" s="40" t="n">
        <v>500</v>
      </c>
      <c r="S999" s="21" t="inlineStr">
        <is>
          <t>CP:R 341</t>
        </is>
      </c>
      <c r="T999" s="21" t="inlineStr">
        <is>
          <t>Generic Sniper Rifle. Can be flavored as any that is not listed here.</t>
        </is>
      </c>
    </row>
    <row r="1000">
      <c r="A1000" s="21" t="inlineStr">
        <is>
          <t>Arasaka WSSA Sniper System</t>
        </is>
      </c>
      <c r="B1000" s="21" t="inlineStr">
        <is>
          <t>Огнестрельное оружие</t>
        </is>
      </c>
      <c r="C1000" s="21" t="inlineStr">
        <is>
          <t>Sniper Rifle</t>
        </is>
      </c>
      <c r="D1000" s="21" t="inlineStr">
        <is>
          <t>Shoulder Arms</t>
        </is>
      </c>
      <c r="E1000" s="21" t="inlineStr">
        <is>
          <t>5d6</t>
        </is>
      </c>
      <c r="F1000" s="31" t="n">
        <v>1</v>
      </c>
      <c r="G1000" s="31" t="n">
        <v>4</v>
      </c>
      <c r="H1000" s="31" t="n"/>
      <c r="I1000" s="31" t="n"/>
      <c r="J1000" s="31" t="n">
        <v>0</v>
      </c>
      <c r="K1000" s="31" t="n">
        <v>0</v>
      </c>
      <c r="L1000" s="31" t="n">
        <v>0</v>
      </c>
      <c r="M1000" s="31" t="n">
        <v>0</v>
      </c>
      <c r="N1000" s="21" t="inlineStr"/>
      <c r="O1000" s="21" t="n">
        <v>2</v>
      </c>
      <c r="P1000" s="21" t="inlineStr">
        <is>
          <t>NO</t>
        </is>
      </c>
      <c r="Q1000" s="21" t="inlineStr">
        <is>
          <t>Excellent</t>
        </is>
      </c>
      <c r="R1000" s="40" t="n">
        <v>1000</v>
      </c>
      <c r="S1000" s="21" t="inlineStr">
        <is>
          <t>CP:R 342 · DL:TT 10 · IR5 44</t>
        </is>
      </c>
      <c r="T1000" s="21" t="inlineStr">
        <is>
          <t>The Arasaka WSS Sniper System is an excellent quality sniper rifle. Most WSS available on the market are actually unauthorised duplicates which lack the built-ins the originals had but are still certainly powerful.</t>
        </is>
      </c>
    </row>
    <row r="1001">
      <c r="A1001" s="21" t="inlineStr">
        <is>
          <t>E VentureWare Kodiak Hunter</t>
        </is>
      </c>
      <c r="B1001" s="21" t="inlineStr">
        <is>
          <t>Огнестрельное оружие</t>
        </is>
      </c>
      <c r="C1001" s="21" t="inlineStr">
        <is>
          <t>Sniper Rifle</t>
        </is>
      </c>
      <c r="D1001" s="21" t="inlineStr">
        <is>
          <t>Shoulder Arms</t>
        </is>
      </c>
      <c r="E1001" s="21" t="inlineStr">
        <is>
          <t>5d6</t>
        </is>
      </c>
      <c r="F1001" s="31" t="n">
        <v>1</v>
      </c>
      <c r="G1001" s="31" t="n">
        <v>3</v>
      </c>
      <c r="H1001" s="31" t="n"/>
      <c r="I1001" s="31" t="n"/>
      <c r="J1001" s="31" t="n">
        <v>0</v>
      </c>
      <c r="K1001" s="31" t="n">
        <v>0</v>
      </c>
      <c r="L1001" s="31" t="n">
        <v>0</v>
      </c>
      <c r="M1001" s="31" t="n">
        <v>0</v>
      </c>
      <c r="N1001" s="21" t="inlineStr"/>
      <c r="O1001" s="21" t="n">
        <v>2</v>
      </c>
      <c r="P1001" s="21" t="inlineStr">
        <is>
          <t>NO</t>
        </is>
      </c>
      <c r="Q1001" s="21" t="inlineStr">
        <is>
          <t>Excellent</t>
        </is>
      </c>
      <c r="R1001" s="40" t="n">
        <v>100</v>
      </c>
      <c r="S1001" s="21" t="inlineStr">
        <is>
          <t>DL:TT 10 · IR5 44</t>
        </is>
      </c>
      <c r="T1001" s="21" t="inlineStr">
        <is>
          <t>The Everest VentureWare Kodiak Hunter is an excellent quality sniper rifle with which an Action must be spent to bolt and chamber before firing.</t>
        </is>
      </c>
    </row>
    <row r="1002">
      <c r="A1002" s="21" t="inlineStr">
        <is>
          <t>GunMart Snipe-Star</t>
        </is>
      </c>
      <c r="B1002" s="21" t="inlineStr">
        <is>
          <t>Огнестрельное оружие</t>
        </is>
      </c>
      <c r="C1002" s="21" t="inlineStr">
        <is>
          <t>Sniper Rifle</t>
        </is>
      </c>
      <c r="D1002" s="21" t="inlineStr">
        <is>
          <t>Shoulder Arms</t>
        </is>
      </c>
      <c r="E1002" s="21" t="inlineStr">
        <is>
          <t>5d6</t>
        </is>
      </c>
      <c r="F1002" s="31" t="n">
        <v>1</v>
      </c>
      <c r="G1002" s="31" t="n">
        <v>4</v>
      </c>
      <c r="H1002" s="31" t="n"/>
      <c r="I1002" s="31" t="n"/>
      <c r="J1002" s="31" t="n">
        <v>0</v>
      </c>
      <c r="K1002" s="31" t="n">
        <v>0</v>
      </c>
      <c r="L1002" s="31" t="n">
        <v>0</v>
      </c>
      <c r="M1002" s="31" t="n">
        <v>0</v>
      </c>
      <c r="N1002" s="21" t="inlineStr"/>
      <c r="O1002" s="21" t="n">
        <v>2</v>
      </c>
      <c r="P1002" s="21" t="inlineStr">
        <is>
          <t>NO</t>
        </is>
      </c>
      <c r="Q1002" s="21" t="inlineStr">
        <is>
          <t>Poor</t>
        </is>
      </c>
      <c r="R1002" s="40" t="n">
        <v>100</v>
      </c>
      <c r="S1002" s="21" t="inlineStr">
        <is>
          <t>CP:R 342 · DL:TT 10 · IR5 44</t>
        </is>
      </c>
      <c r="T1002" s="21" t="inlineStr">
        <is>
          <t>The GunMart Snipe-Starr is a poor quality weapon. Due to its quality, it sometimes jams. No professional sniper would ever use one.</t>
        </is>
      </c>
    </row>
    <row r="1003">
      <c r="A1003" s="21" t="inlineStr">
        <is>
          <t>Midnight Arms Dawnmaker AMR</t>
        </is>
      </c>
      <c r="B1003" s="21" t="inlineStr">
        <is>
          <t>Огнестрельное оружие</t>
        </is>
      </c>
      <c r="C1003" s="21" t="inlineStr">
        <is>
          <t>Sniper Rifle</t>
        </is>
      </c>
      <c r="D1003" s="21" t="inlineStr">
        <is>
          <t>Heavy Weapons</t>
        </is>
      </c>
      <c r="E1003" s="21" t="inlineStr">
        <is>
          <t>6d6</t>
        </is>
      </c>
      <c r="F1003" s="31" t="n">
        <v>1</v>
      </c>
      <c r="G1003" s="31" t="n">
        <v>4</v>
      </c>
      <c r="H1003" s="31" t="n"/>
      <c r="I1003" s="31" t="n"/>
      <c r="J1003" s="31" t="n">
        <v>0</v>
      </c>
      <c r="K1003" s="31" t="n">
        <v>0</v>
      </c>
      <c r="L1003" s="31" t="n">
        <v>0</v>
      </c>
      <c r="M1003" s="31" t="n">
        <v>0</v>
      </c>
      <c r="N1003" s="21" t="inlineStr"/>
      <c r="O1003" s="21" t="n">
        <v>2</v>
      </c>
      <c r="P1003" s="21" t="inlineStr">
        <is>
          <t>NO</t>
        </is>
      </c>
      <c r="Q1003" s="21" t="inlineStr">
        <is>
          <t>Excellent</t>
        </is>
      </c>
      <c r="R1003" s="40" t="n">
        <v>2300</v>
      </c>
      <c r="S1003" s="21" t="inlineStr">
        <is>
          <t>IR5 117</t>
        </is>
      </c>
      <c r="T1003" s="21" t="inlineStr">
        <is>
          <t>Excellent Quality Sniper Rifle uses Anti-material Rifle Range Table</t>
        </is>
      </c>
    </row>
    <row r="1004">
      <c r="A1004" s="21" t="inlineStr">
        <is>
          <t>Militech Ninja Sniper</t>
        </is>
      </c>
      <c r="B1004" s="21" t="inlineStr">
        <is>
          <t>Огнестрельное оружие</t>
        </is>
      </c>
      <c r="C1004" s="21" t="inlineStr">
        <is>
          <t>Sniper Rifle</t>
        </is>
      </c>
      <c r="D1004" s="21" t="inlineStr">
        <is>
          <t>Shoulder Arms</t>
        </is>
      </c>
      <c r="E1004" s="21" t="inlineStr">
        <is>
          <t>5d6</t>
        </is>
      </c>
      <c r="F1004" s="31" t="n">
        <v>1</v>
      </c>
      <c r="G1004" s="31" t="n">
        <v>4</v>
      </c>
      <c r="H1004" s="31" t="n"/>
      <c r="I1004" s="31" t="n"/>
      <c r="J1004" s="31" t="n">
        <v>0</v>
      </c>
      <c r="K1004" s="31" t="n">
        <v>0</v>
      </c>
      <c r="L1004" s="31" t="n">
        <v>0</v>
      </c>
      <c r="M1004" s="31" t="n">
        <v>0</v>
      </c>
      <c r="N1004" s="21" t="inlineStr"/>
      <c r="O1004" s="21" t="n">
        <v>2</v>
      </c>
      <c r="P1004" s="21" t="inlineStr">
        <is>
          <t>NO</t>
        </is>
      </c>
      <c r="Q1004" s="21" t="inlineStr">
        <is>
          <t>Standard</t>
        </is>
      </c>
      <c r="R1004" s="40" t="n">
        <v>600</v>
      </c>
      <c r="S1004" s="21" t="inlineStr">
        <is>
          <t>DL:TT 10 · IR5 44</t>
        </is>
      </c>
      <c r="T1004" s="21" t="inlineStr">
        <is>
          <t>A long-range upgrade of the reliable Ninja, this is the weapon Militech snipers train on. You can’t dodge a shot you don’t see coming, and you can’t fire back if you don’t know where it came from. A Standard Quality Snip</t>
        </is>
      </c>
    </row>
    <row r="1005">
      <c r="A1005" s="21" t="inlineStr">
        <is>
          <t>Nomad Long Rifle</t>
        </is>
      </c>
      <c r="B1005" s="21" t="inlineStr">
        <is>
          <t>Огнестрельное оружие</t>
        </is>
      </c>
      <c r="C1005" s="21" t="inlineStr">
        <is>
          <t>Sniper Rifle</t>
        </is>
      </c>
      <c r="D1005" s="21" t="inlineStr">
        <is>
          <t>Shoulder Arms</t>
        </is>
      </c>
      <c r="E1005" s="21" t="inlineStr">
        <is>
          <t>5d6</t>
        </is>
      </c>
      <c r="F1005" s="31" t="n">
        <v>1</v>
      </c>
      <c r="G1005" s="31" t="n">
        <v>4</v>
      </c>
      <c r="H1005" s="31" t="n"/>
      <c r="I1005" s="31" t="n"/>
      <c r="J1005" s="31" t="n">
        <v>0</v>
      </c>
      <c r="K1005" s="31" t="n">
        <v>0</v>
      </c>
      <c r="L1005" s="31" t="n">
        <v>0</v>
      </c>
      <c r="M1005" s="31" t="n">
        <v>0</v>
      </c>
      <c r="N1005" s="21" t="inlineStr"/>
      <c r="O1005" s="21" t="n">
        <v>2</v>
      </c>
      <c r="P1005" s="21" t="inlineStr">
        <is>
          <t>NO</t>
        </is>
      </c>
      <c r="Q1005" s="21" t="inlineStr">
        <is>
          <t>Standard</t>
        </is>
      </c>
      <c r="R1005" s="40" t="n">
        <v>500</v>
      </c>
      <c r="S1005" s="21" t="inlineStr">
        <is>
          <t>CP:R 342 · DL:TT 10 · IR5 44</t>
        </is>
      </c>
      <c r="T1005" s="21" t="inlineStr">
        <is>
          <t>Because these were originally developed by Aldecaldo weaponsmiths from samples they found while salvaging an abandoned firearms factory, each Nomad Long Rifle is unique, though all are reliable weapons. A Standard Qualit</t>
        </is>
      </c>
    </row>
    <row r="1006">
      <c r="A1006" s="21" t="inlineStr">
        <is>
          <t>Nomad Pneumatic Bolt Gun</t>
        </is>
      </c>
      <c r="B1006" s="21" t="inlineStr">
        <is>
          <t>Огнестрельное оружие</t>
        </is>
      </c>
      <c r="C1006" s="21" t="inlineStr">
        <is>
          <t>Sniper Rifle</t>
        </is>
      </c>
      <c r="D1006" s="21" t="inlineStr">
        <is>
          <t>Shoulder Arms</t>
        </is>
      </c>
      <c r="E1006" s="21" t="inlineStr">
        <is>
          <t>4d6</t>
        </is>
      </c>
      <c r="F1006" s="31" t="n">
        <v>1</v>
      </c>
      <c r="G1006" s="31" t="n">
        <v>8</v>
      </c>
      <c r="H1006" s="31" t="n"/>
      <c r="I1006" s="31" t="n"/>
      <c r="J1006" s="31" t="n">
        <v>0</v>
      </c>
      <c r="K1006" s="31" t="n">
        <v>0</v>
      </c>
      <c r="L1006" s="31" t="n">
        <v>0</v>
      </c>
      <c r="M1006" s="31" t="n">
        <v>0</v>
      </c>
      <c r="N1006" s="21" t="inlineStr"/>
      <c r="O1006" s="21" t="n">
        <v>2</v>
      </c>
      <c r="P1006" s="21" t="inlineStr">
        <is>
          <t>NO</t>
        </is>
      </c>
      <c r="Q1006" s="21" t="inlineStr">
        <is>
          <t>Standard</t>
        </is>
      </c>
      <c r="R1006" s="40" t="n">
        <v>500</v>
      </c>
      <c r="S1006" s="21" t="inlineStr">
        <is>
          <t>DL:12Gun 5 · DGD 145</t>
        </is>
      </c>
      <c r="T1006" s="21" t="inlineStr">
        <is>
          <t>Exotic Sniper Rifle with a 8 shot capacity that deals 4d6 damage instead of 5d6 damage. This weapon fires Arrows instead of bullets and is capable of firing Non-Basic Ammunition despite being an Exotic weapon</t>
        </is>
      </c>
    </row>
    <row r="1007">
      <c r="A1007" s="21" t="inlineStr">
        <is>
          <t>Superchrome© Javelin</t>
        </is>
      </c>
      <c r="B1007" s="21" t="inlineStr">
        <is>
          <t>Огнестрельное оружие</t>
        </is>
      </c>
      <c r="C1007" s="21" t="inlineStr">
        <is>
          <t>Sniper Rifle</t>
        </is>
      </c>
      <c r="D1007" s="21" t="inlineStr">
        <is>
          <t>Shoulder Arms</t>
        </is>
      </c>
      <c r="E1007" s="21" t="inlineStr">
        <is>
          <t>5d6</t>
        </is>
      </c>
      <c r="F1007" s="31" t="n">
        <v>1</v>
      </c>
      <c r="G1007" s="31" t="n">
        <v>4</v>
      </c>
      <c r="H1007" s="31" t="n"/>
      <c r="I1007" s="31" t="n"/>
      <c r="J1007" s="31" t="n">
        <v>0</v>
      </c>
      <c r="K1007" s="31" t="n">
        <v>0</v>
      </c>
      <c r="L1007" s="31" t="n">
        <v>0</v>
      </c>
      <c r="M1007" s="31" t="n">
        <v>0</v>
      </c>
      <c r="N1007" s="21" t="inlineStr"/>
      <c r="O1007" s="21" t="n">
        <v>2</v>
      </c>
      <c r="P1007" s="21" t="inlineStr">
        <is>
          <t>NO</t>
        </is>
      </c>
      <c r="Q1007" s="21" t="inlineStr">
        <is>
          <t>Standard</t>
        </is>
      </c>
      <c r="R1007" s="40" t="n">
        <v>1000</v>
      </c>
      <c r="S1007" s="21" t="inlineStr">
        <is>
          <t>BC 120</t>
        </is>
      </c>
      <c r="T1007" s="21" t="inlineStr">
        <is>
          <t>Sniper Rifle that has been covered in Superchrome for a +2 to Wardrobe/Style Skill Checks. It can fire Non-Basic Ammunition despite being an Exotic Weapon.</t>
        </is>
      </c>
    </row>
    <row r="1008">
      <c r="A1008" s="21" t="inlineStr">
        <is>
          <t>Sanroo Hello Cutie 1TruLuv</t>
        </is>
      </c>
      <c r="B1008" s="21" t="inlineStr">
        <is>
          <t>Огнестрельное оружие</t>
        </is>
      </c>
      <c r="C1008" s="21" t="inlineStr">
        <is>
          <t>Sniper Rifle</t>
        </is>
      </c>
      <c r="D1008" s="21" t="inlineStr">
        <is>
          <t>Shoulder Arms</t>
        </is>
      </c>
      <c r="E1008" s="21" t="inlineStr">
        <is>
          <t>5d6</t>
        </is>
      </c>
      <c r="F1008" s="31" t="n">
        <v>1</v>
      </c>
      <c r="G1008" s="31" t="n">
        <v>4</v>
      </c>
      <c r="H1008" s="31" t="n"/>
      <c r="I1008" s="31" t="n"/>
      <c r="J1008" s="31" t="n">
        <v>0</v>
      </c>
      <c r="K1008" s="31" t="n">
        <v>0</v>
      </c>
      <c r="L1008" s="31" t="n">
        <v>0</v>
      </c>
      <c r="M1008" s="31" t="n">
        <v>0</v>
      </c>
      <c r="N1008" s="21" t="inlineStr"/>
      <c r="O1008" s="21" t="n">
        <v>2</v>
      </c>
      <c r="P1008" s="21" t="inlineStr">
        <is>
          <t>NO</t>
        </is>
      </c>
      <c r="Q1008" s="21" t="inlineStr">
        <is>
          <t>Standard</t>
        </is>
      </c>
      <c r="R1008" s="40" t="n">
        <v>1000</v>
      </c>
      <c r="S1008" s="21" t="inlineStr">
        <is>
          <t>DL:BC+ 4 · IR4 12</t>
        </is>
      </c>
      <c r="T1008" s="21" t="inlineStr">
        <is>
          <t>An Exotic Sniper Rifle with a flip-out Agent, built-in Sniper Scope, and Infrared Nightvision Scope. The Agent cannot be removed from the weapon without destroying both it and the weapon beyond repair. Despite being an E</t>
        </is>
      </c>
    </row>
    <row r="1009">
      <c r="A1009" s="21" t="inlineStr">
        <is>
          <t>Techtronika SPT32 Grad</t>
        </is>
      </c>
      <c r="B1009" s="21" t="inlineStr">
        <is>
          <t>Огнестрельное оружие</t>
        </is>
      </c>
      <c r="C1009" s="21" t="inlineStr">
        <is>
          <t>Sniper Rifle</t>
        </is>
      </c>
      <c r="D1009" s="21" t="inlineStr">
        <is>
          <t>Shoulder Arms</t>
        </is>
      </c>
      <c r="E1009" s="21" t="inlineStr">
        <is>
          <t>5d6</t>
        </is>
      </c>
      <c r="F1009" s="31" t="n">
        <v>1</v>
      </c>
      <c r="G1009" s="31" t="n">
        <v>4</v>
      </c>
      <c r="H1009" s="31" t="n"/>
      <c r="I1009" s="31" t="n"/>
      <c r="J1009" s="31" t="n">
        <v>0</v>
      </c>
      <c r="K1009" s="31" t="n">
        <v>0</v>
      </c>
      <c r="L1009" s="31" t="n">
        <v>0</v>
      </c>
      <c r="M1009" s="31" t="n">
        <v>0</v>
      </c>
      <c r="N1009" s="21" t="inlineStr"/>
      <c r="O1009" s="21" t="n">
        <v>2</v>
      </c>
      <c r="P1009" s="21" t="inlineStr">
        <is>
          <t>NO</t>
        </is>
      </c>
      <c r="Q1009" s="21" t="inlineStr">
        <is>
          <t>Excellent</t>
        </is>
      </c>
      <c r="R1009" s="40" t="n">
        <v>500</v>
      </c>
      <c r="S1009" s="21" t="inlineStr">
        <is>
          <t>CEMK 33</t>
        </is>
      </c>
      <c r="T1009" s="21" t="inlineStr">
        <is>
          <t>Equipped with a Power Rebuild, it increases Critical Injury Bonus Damage by 5, and allows the user to ricochet shots at a −4 penalty. Due to the weapon quality being Excellent, the user gains +1 to Attack Checks made wit</t>
        </is>
      </c>
    </row>
    <row r="1010">
      <c r="A1010" s="21" t="inlineStr">
        <is>
          <t>Towa Type-00-Kai</t>
        </is>
      </c>
      <c r="B1010" s="21" t="inlineStr">
        <is>
          <t>Огнестрельное оружие</t>
        </is>
      </c>
      <c r="C1010" s="21" t="inlineStr">
        <is>
          <t>Sniper Rifle</t>
        </is>
      </c>
      <c r="D1010" s="21" t="inlineStr">
        <is>
          <t>Shoulder Arms</t>
        </is>
      </c>
      <c r="E1010" s="21" t="inlineStr">
        <is>
          <t>5d6</t>
        </is>
      </c>
      <c r="F1010" s="31" t="n">
        <v>1</v>
      </c>
      <c r="G1010" s="31" t="n">
        <v>4</v>
      </c>
      <c r="H1010" s="31" t="n"/>
      <c r="I1010" s="31" t="n"/>
      <c r="J1010" s="31" t="n">
        <v>0</v>
      </c>
      <c r="K1010" s="31" t="n">
        <v>0</v>
      </c>
      <c r="L1010" s="31" t="n">
        <v>0</v>
      </c>
      <c r="M1010" s="31" t="n">
        <v>0</v>
      </c>
      <c r="N1010" s="21" t="inlineStr"/>
      <c r="O1010" s="21" t="n">
        <v>2</v>
      </c>
      <c r="P1010" s="21" t="inlineStr">
        <is>
          <t>NO</t>
        </is>
      </c>
      <c r="Q1010" s="21" t="inlineStr">
        <is>
          <t>Excellent</t>
        </is>
      </c>
      <c r="R1010" s="40" t="n">
        <v>1500</v>
      </c>
      <c r="S1010" s="21" t="inlineStr">
        <is>
          <t>DL:TT 10 · IR5 44</t>
        </is>
      </c>
      <c r="T1010" s="21" t="inlineStr">
        <is>
          <t>Towa’s engineers always seem to do their best when under contract by the Japanese SDF. Nowhere is this more apparent than the Type-00-Kai, which stands leagues beyond the company’s cheaper offerings. This sniper rifle co</t>
        </is>
      </c>
    </row>
    <row r="1011">
      <c r="A1011" s="21" t="inlineStr">
        <is>
          <t>Tsunami Arms Nekomata</t>
        </is>
      </c>
      <c r="B1011" s="21" t="inlineStr">
        <is>
          <t>Огнестрельное оружие</t>
        </is>
      </c>
      <c r="C1011" s="21" t="inlineStr">
        <is>
          <t>Sniper Rifle</t>
        </is>
      </c>
      <c r="D1011" s="21" t="inlineStr">
        <is>
          <t>Shoulder Arms</t>
        </is>
      </c>
      <c r="E1011" s="21" t="inlineStr">
        <is>
          <t>5d6</t>
        </is>
      </c>
      <c r="F1011" s="31" t="n">
        <v>1</v>
      </c>
      <c r="G1011" s="31" t="n">
        <v>4</v>
      </c>
      <c r="H1011" s="31" t="n"/>
      <c r="I1011" s="31" t="n"/>
      <c r="J1011" s="31" t="n">
        <v>0</v>
      </c>
      <c r="K1011" s="31" t="n">
        <v>0</v>
      </c>
      <c r="L1011" s="31" t="n">
        <v>0</v>
      </c>
      <c r="M1011" s="31" t="n">
        <v>0</v>
      </c>
      <c r="N1011" s="21" t="inlineStr"/>
      <c r="O1011" s="21" t="n">
        <v>2</v>
      </c>
      <c r="P1011" s="21" t="inlineStr">
        <is>
          <t>NO</t>
        </is>
      </c>
      <c r="Q1011" s="21" t="inlineStr">
        <is>
          <t>Standard</t>
        </is>
      </c>
      <c r="R1011" s="40" t="n">
        <v>1000</v>
      </c>
      <c r="S1011" s="21" t="inlineStr">
        <is>
          <t>CEMK 34</t>
        </is>
      </c>
      <c r="T1011" s="21" t="inlineStr">
        <is>
          <t>Equipped with a Tech Rebuild, it is equipped with a Scope that allows creating outlines of simple targets through Thick and Thin Cover. A Move Action can be used to charge the weapon for 20 rounds or until it has been fi</t>
        </is>
      </c>
    </row>
    <row r="1012">
      <c r="A1012" s="21" t="inlineStr">
        <is>
          <t>Tsunami Arms “Deathwind” Railgun</t>
        </is>
      </c>
      <c r="B1012" s="21" t="inlineStr">
        <is>
          <t>Огнестрельное оружие</t>
        </is>
      </c>
      <c r="C1012" s="21" t="inlineStr">
        <is>
          <t>Sniper Rifle</t>
        </is>
      </c>
      <c r="D1012" s="21" t="inlineStr">
        <is>
          <t>Heavy Weapons</t>
        </is>
      </c>
      <c r="E1012" s="21" t="inlineStr">
        <is>
          <t>6d6</t>
        </is>
      </c>
      <c r="F1012" s="31" t="n">
        <v>1</v>
      </c>
      <c r="G1012" s="31" t="n">
        <v>30</v>
      </c>
      <c r="H1012" s="31" t="n"/>
      <c r="I1012" s="31" t="n"/>
      <c r="J1012" s="31" t="n">
        <v>0</v>
      </c>
      <c r="K1012" s="31" t="n">
        <v>0</v>
      </c>
      <c r="L1012" s="31" t="n">
        <v>0</v>
      </c>
      <c r="M1012" s="31" t="n">
        <v>0</v>
      </c>
      <c r="N1012" s="21" t="inlineStr"/>
      <c r="O1012" s="21" t="n">
        <v>2</v>
      </c>
      <c r="P1012" s="21" t="inlineStr">
        <is>
          <t>NO</t>
        </is>
      </c>
      <c r="Q1012" s="21" t="inlineStr">
        <is>
          <t>Excellent</t>
        </is>
      </c>
      <c r="R1012" s="40" t="n">
        <v>12000</v>
      </c>
      <c r="S1012" s="21" t="inlineStr">
        <is>
          <t>IR5 119</t>
        </is>
      </c>
      <c r="T1012" s="21" t="inlineStr">
        <is>
          <t xml:space="preserve">This weapon is incapable of Aimed Shots. After every third shot fired by this weapon within 30 seconds (10 Rounds), this weapon’s Quality reduces to Poor Quality until it is vented by the user as an Action. Damage dealt </t>
        </is>
      </c>
    </row>
    <row r="1013">
      <c r="A1013" s="21" t="inlineStr">
        <is>
          <t>4Tify</t>
        </is>
      </c>
      <c r="B1013" s="21" t="inlineStr">
        <is>
          <t>Снаряжение</t>
        </is>
      </c>
      <c r="C1013" s="21" t="inlineStr">
        <is>
          <t>Software</t>
        </is>
      </c>
      <c r="D1013" s="21" t="inlineStr"/>
      <c r="E1013" s="21" t="inlineStr">
        <is>
          <t>1d6</t>
        </is>
      </c>
      <c r="F1013" s="31" t="n"/>
      <c r="G1013" s="31" t="n"/>
      <c r="H1013" s="31" t="n"/>
      <c r="I1013" s="31" t="n"/>
      <c r="J1013" s="31" t="n">
        <v>0</v>
      </c>
      <c r="K1013" s="31" t="n">
        <v>0</v>
      </c>
      <c r="L1013" s="31" t="n">
        <v>0</v>
      </c>
      <c r="M1013" s="31" t="n">
        <v>0</v>
      </c>
      <c r="N1013" s="21" t="inlineStr"/>
      <c r="O1013" s="21" t="inlineStr"/>
      <c r="P1013" s="21" t="inlineStr"/>
      <c r="Q1013" s="21" t="inlineStr"/>
      <c r="R1013" s="40" t="n">
        <v>100</v>
      </c>
      <c r="S1013" s="21" t="inlineStr">
        <is>
          <t>BC 13</t>
        </is>
      </c>
      <c r="T1013" s="21" t="inlineStr">
        <is>
          <t>Let’s be honest. The world isn’t safe. Gangs roam the streets and, if worse comes to worst, the cops are too overworked to come to your aid unless you’ve got major eb. You’ve got to protect yourself! 4Tify transforms you</t>
        </is>
      </c>
    </row>
    <row r="1014">
      <c r="A1014" s="21" t="inlineStr">
        <is>
          <t>Ask Alex Anything</t>
        </is>
      </c>
      <c r="B1014" s="21" t="inlineStr">
        <is>
          <t>Снаряжение</t>
        </is>
      </c>
      <c r="C1014" s="21" t="inlineStr">
        <is>
          <t>Software</t>
        </is>
      </c>
      <c r="D1014" s="21" t="inlineStr"/>
      <c r="E1014" s="21" t="inlineStr"/>
      <c r="F1014" s="31" t="n"/>
      <c r="G1014" s="31" t="n"/>
      <c r="H1014" s="31" t="n"/>
      <c r="I1014" s="31" t="n"/>
      <c r="J1014" s="31" t="n">
        <v>0</v>
      </c>
      <c r="K1014" s="31" t="n">
        <v>0</v>
      </c>
      <c r="L1014" s="31" t="n">
        <v>0</v>
      </c>
      <c r="M1014" s="31" t="n">
        <v>0</v>
      </c>
      <c r="N1014" s="21" t="inlineStr"/>
      <c r="O1014" s="21" t="inlineStr"/>
      <c r="P1014" s="21" t="inlineStr"/>
      <c r="Q1014" s="21" t="inlineStr"/>
      <c r="R1014" s="40" t="n">
        <v>0</v>
      </c>
      <c r="S1014" s="21" t="inlineStr">
        <is>
          <t>DL:AAA 7 · IR5 29</t>
        </is>
      </c>
      <c r="T1014" s="21" t="inlineStr">
        <is>
          <t>From Ziggurat. The most popular netcrawler round, Ask Alex Anything comes installed on all Agents (or downloads automatically the first time it connects to a Ziggurat-run CitiNet). An Agent’s SAAI engine plugs directly i</t>
        </is>
      </c>
    </row>
    <row r="1015">
      <c r="A1015" s="21" t="inlineStr">
        <is>
          <t>BabelChat</t>
        </is>
      </c>
      <c r="B1015" s="21" t="inlineStr">
        <is>
          <t>Снаряжение</t>
        </is>
      </c>
      <c r="C1015" s="21" t="inlineStr">
        <is>
          <t>Software</t>
        </is>
      </c>
      <c r="D1015" s="21" t="inlineStr"/>
      <c r="E1015" s="21" t="inlineStr"/>
      <c r="F1015" s="31" t="n"/>
      <c r="G1015" s="31" t="n"/>
      <c r="H1015" s="31" t="n"/>
      <c r="I1015" s="31" t="n"/>
      <c r="J1015" s="31" t="n">
        <v>0</v>
      </c>
      <c r="K1015" s="31" t="n">
        <v>0</v>
      </c>
      <c r="L1015" s="31" t="n">
        <v>0</v>
      </c>
      <c r="M1015" s="31" t="n">
        <v>0</v>
      </c>
      <c r="N1015" s="21" t="inlineStr"/>
      <c r="O1015" s="21" t="inlineStr"/>
      <c r="P1015" s="21" t="inlineStr"/>
      <c r="Q1015" s="21" t="inlineStr"/>
      <c r="R1015" s="40" t="n">
        <v>0</v>
      </c>
      <c r="S1015" s="21" t="inlineStr">
        <is>
          <t>DL:AAA 7 · IR5 29</t>
        </is>
      </c>
      <c r="T1015" s="21" t="inlineStr">
        <is>
          <t>From Ziggurat. The most popular text and instant messaging app, partly because it’s pre-installed on all Agents. Users can spend money on additional themes, emotes, and camera effects. App. Allows user to send text messa</t>
        </is>
      </c>
    </row>
    <row r="1016">
      <c r="A1016" s="21" t="inlineStr">
        <is>
          <t>BangMe!</t>
        </is>
      </c>
      <c r="B1016" s="21" t="inlineStr">
        <is>
          <t>Снаряжение</t>
        </is>
      </c>
      <c r="C1016" s="21" t="inlineStr">
        <is>
          <t>Software</t>
        </is>
      </c>
      <c r="D1016" s="21" t="inlineStr"/>
      <c r="E1016" s="21" t="inlineStr"/>
      <c r="F1016" s="31" t="n"/>
      <c r="G1016" s="31" t="n"/>
      <c r="H1016" s="31" t="n"/>
      <c r="I1016" s="31" t="n"/>
      <c r="J1016" s="31" t="n">
        <v>0</v>
      </c>
      <c r="K1016" s="31" t="n">
        <v>0</v>
      </c>
      <c r="L1016" s="31" t="n">
        <v>0</v>
      </c>
      <c r="M1016" s="31" t="n">
        <v>0</v>
      </c>
      <c r="N1016" s="21" t="inlineStr"/>
      <c r="O1016" s="21" t="inlineStr"/>
      <c r="P1016" s="21" t="inlineStr"/>
      <c r="Q1016" s="21" t="inlineStr"/>
      <c r="R1016" s="40" t="n">
        <v>10</v>
      </c>
      <c r="S1016" s="21" t="inlineStr">
        <is>
          <t>DL:AAA 7 · IR5 29</t>
        </is>
      </c>
      <c r="T1016" s="21" t="inlineStr">
        <is>
          <t>From Eurobank. Still paying for things with actual bills? Bang ‘em your money instead! Open your Agents, agree on an amount, then trade cash with a tap! BangMe! is available in all Oasis stores. App. Allows money transfe</t>
        </is>
      </c>
    </row>
    <row r="1017">
      <c r="A1017" s="21" t="inlineStr">
        <is>
          <t>Big SAAI</t>
        </is>
      </c>
      <c r="B1017" s="21" t="inlineStr">
        <is>
          <t>Снаряжение</t>
        </is>
      </c>
      <c r="C1017" s="21" t="inlineStr">
        <is>
          <t>Software</t>
        </is>
      </c>
      <c r="D1017" s="21" t="inlineStr"/>
      <c r="E1017" s="21" t="inlineStr"/>
      <c r="F1017" s="31" t="n"/>
      <c r="G1017" s="31" t="n"/>
      <c r="H1017" s="31" t="n"/>
      <c r="I1017" s="31" t="n"/>
      <c r="J1017" s="31" t="n">
        <v>0</v>
      </c>
      <c r="K1017" s="31" t="n">
        <v>0</v>
      </c>
      <c r="L1017" s="31" t="n">
        <v>0</v>
      </c>
      <c r="M1017" s="31" t="n">
        <v>0</v>
      </c>
      <c r="N1017" s="21" t="inlineStr"/>
      <c r="O1017" s="21" t="inlineStr"/>
      <c r="P1017" s="21" t="inlineStr"/>
      <c r="Q1017" s="21" t="inlineStr"/>
      <c r="R1017" s="40" t="n">
        <v>100</v>
      </c>
      <c r="S1017" s="21" t="inlineStr">
        <is>
          <t>DL:AAA 7 · IR5 29</t>
        </is>
      </c>
      <c r="T1017" s="21" t="inlineStr">
        <is>
          <t>From Ziggurat. This add-on enhances your Agent’s SAAI, improving results and speed. It also tracks your Agent usage and quietly reports on you to Ziggurat. App. While installed, your Agent grants you a +3 to Library Sear</t>
        </is>
      </c>
    </row>
    <row r="1018">
      <c r="A1018" s="21" t="inlineStr">
        <is>
          <t>Brainwasher</t>
        </is>
      </c>
      <c r="B1018" s="21" t="inlineStr">
        <is>
          <t>Снаряжение</t>
        </is>
      </c>
      <c r="C1018" s="21" t="inlineStr">
        <is>
          <t>Software</t>
        </is>
      </c>
      <c r="D1018" s="21" t="inlineStr"/>
      <c r="E1018" s="21" t="inlineStr">
        <is>
          <t>1d10</t>
        </is>
      </c>
      <c r="F1018" s="31" t="n"/>
      <c r="G1018" s="31" t="n"/>
      <c r="H1018" s="31" t="n"/>
      <c r="I1018" s="31" t="n"/>
      <c r="J1018" s="31" t="n">
        <v>0</v>
      </c>
      <c r="K1018" s="31" t="n">
        <v>0</v>
      </c>
      <c r="L1018" s="31" t="n">
        <v>0</v>
      </c>
      <c r="M1018" s="31" t="n">
        <v>0</v>
      </c>
      <c r="N1018" s="21" t="inlineStr"/>
      <c r="O1018" s="21" t="inlineStr"/>
      <c r="P1018" s="21" t="inlineStr"/>
      <c r="Q1018" s="21" t="inlineStr"/>
      <c r="R1018" s="40" t="n">
        <v>50</v>
      </c>
      <c r="S1018" s="21" t="inlineStr">
        <is>
          <t>DL:AAA 7 · IR5 29</t>
        </is>
      </c>
      <c r="T1018" s="21" t="inlineStr">
        <is>
          <t>From No/Brainer (a division of Gunmat). This SAAIpowered therapy app claims to be as good as any licensed professional. Brainwasher provides rudimentary talk therapy but cannot prescribe the Biotechnica edications or bra</t>
        </is>
      </c>
    </row>
    <row r="1019">
      <c r="A1019" s="21" t="inlineStr">
        <is>
          <t>Digital Gladiator</t>
        </is>
      </c>
      <c r="B1019" s="21" t="inlineStr">
        <is>
          <t>Снаряжение</t>
        </is>
      </c>
      <c r="C1019" s="21" t="inlineStr">
        <is>
          <t>Software</t>
        </is>
      </c>
      <c r="D1019" s="21" t="inlineStr"/>
      <c r="E1019" s="21" t="inlineStr"/>
      <c r="F1019" s="31" t="n"/>
      <c r="G1019" s="31" t="n"/>
      <c r="H1019" s="31" t="n"/>
      <c r="I1019" s="31" t="n"/>
      <c r="J1019" s="31" t="n">
        <v>0</v>
      </c>
      <c r="K1019" s="31" t="n">
        <v>0</v>
      </c>
      <c r="L1019" s="31" t="n">
        <v>0</v>
      </c>
      <c r="M1019" s="31" t="n">
        <v>0</v>
      </c>
      <c r="N1019" s="21" t="inlineStr"/>
      <c r="O1019" s="21" t="inlineStr"/>
      <c r="P1019" s="21" t="inlineStr"/>
      <c r="Q1019" s="21" t="inlineStr"/>
      <c r="R1019" s="40" t="n">
        <v>20</v>
      </c>
      <c r="S1019" s="21" t="inlineStr">
        <is>
          <t>BC 12</t>
        </is>
      </c>
      <c r="T1019" s="21" t="inlineStr">
        <is>
          <t>Do you have a grudge against a rival? Hesitant to shoot it out in The Street? Want to hit them where it really hurts (their wallet)? Look no further than the Digital Gladiator app from Segotari! Designed for head-to-head</t>
        </is>
      </c>
    </row>
    <row r="1020">
      <c r="A1020" s="21" t="inlineStr">
        <is>
          <t>Elflines Online</t>
        </is>
      </c>
      <c r="B1020" s="21" t="inlineStr">
        <is>
          <t>Снаряжение</t>
        </is>
      </c>
      <c r="C1020" s="21" t="inlineStr">
        <is>
          <t>Software</t>
        </is>
      </c>
      <c r="D1020" s="21" t="inlineStr"/>
      <c r="E1020" s="21" t="inlineStr"/>
      <c r="F1020" s="31" t="n"/>
      <c r="G1020" s="31" t="n"/>
      <c r="H1020" s="31" t="n"/>
      <c r="I1020" s="31" t="n"/>
      <c r="J1020" s="31" t="n">
        <v>0</v>
      </c>
      <c r="K1020" s="31" t="n">
        <v>0</v>
      </c>
      <c r="L1020" s="31" t="n">
        <v>0</v>
      </c>
      <c r="M1020" s="31" t="n">
        <v>0</v>
      </c>
      <c r="N1020" s="21" t="inlineStr"/>
      <c r="O1020" s="21" t="inlineStr"/>
      <c r="P1020" s="21" t="inlineStr"/>
      <c r="Q1020" s="21" t="inlineStr"/>
      <c r="R1020" s="40" t="n">
        <v>50</v>
      </c>
      <c r="S1020" s="21" t="inlineStr">
        <is>
          <t>DL:Elf1 5 · IR1 44</t>
        </is>
      </c>
      <c r="T1020" s="21" t="inlineStr">
        <is>
          <t>Copy of Elflines Online MMO RPG. To play you need Segotari RUSH REVOLUTION Interactive Braindance headeset (500eb)</t>
        </is>
      </c>
    </row>
    <row r="1021">
      <c r="A1021" s="21" t="inlineStr">
        <is>
          <t>Elflines Online Elftracker</t>
        </is>
      </c>
      <c r="B1021" s="21" t="inlineStr">
        <is>
          <t>Снаряжение</t>
        </is>
      </c>
      <c r="C1021" s="21" t="inlineStr">
        <is>
          <t>Software</t>
        </is>
      </c>
      <c r="D1021" s="21" t="inlineStr"/>
      <c r="E1021" s="21" t="inlineStr"/>
      <c r="F1021" s="31" t="n"/>
      <c r="G1021" s="31" t="n"/>
      <c r="H1021" s="31" t="n"/>
      <c r="I1021" s="31" t="n"/>
      <c r="J1021" s="31" t="n">
        <v>0</v>
      </c>
      <c r="K1021" s="31" t="n">
        <v>0</v>
      </c>
      <c r="L1021" s="31" t="n">
        <v>0</v>
      </c>
      <c r="M1021" s="31" t="n">
        <v>0</v>
      </c>
      <c r="N1021" s="21" t="inlineStr"/>
      <c r="O1021" s="21" t="inlineStr"/>
      <c r="P1021" s="21" t="inlineStr"/>
      <c r="Q1021" s="21" t="inlineStr"/>
      <c r="R1021" s="40" t="n">
        <v>50</v>
      </c>
      <c r="S1021" s="21" t="inlineStr">
        <is>
          <t>DL:AAA 8 · IR5 30</t>
        </is>
      </c>
      <c r="T1021" s="21" t="inlineStr">
        <is>
          <t>From Segotari. Obsessive players connect their ELO account to this app to check or show off their elf’s stats, trade items, organize raids, keep up with chat, and possibly track down that doomba who PK’d you and return t</t>
        </is>
      </c>
    </row>
    <row r="1022">
      <c r="A1022" s="21" t="inlineStr">
        <is>
          <t>The Garden</t>
        </is>
      </c>
      <c r="B1022" s="21" t="inlineStr">
        <is>
          <t>Снаряжение</t>
        </is>
      </c>
      <c r="C1022" s="21" t="inlineStr">
        <is>
          <t>Software</t>
        </is>
      </c>
      <c r="D1022" s="21" t="inlineStr"/>
      <c r="E1022" s="21" t="inlineStr"/>
      <c r="F1022" s="31" t="n"/>
      <c r="G1022" s="31" t="n"/>
      <c r="H1022" s="31" t="n"/>
      <c r="I1022" s="31" t="n"/>
      <c r="J1022" s="31" t="n">
        <v>0</v>
      </c>
      <c r="K1022" s="31" t="n">
        <v>0</v>
      </c>
      <c r="L1022" s="31" t="n">
        <v>0</v>
      </c>
      <c r="M1022" s="31" t="n">
        <v>0</v>
      </c>
      <c r="N1022" s="21" t="inlineStr"/>
      <c r="O1022" s="21" t="inlineStr"/>
      <c r="P1022" s="21" t="inlineStr"/>
      <c r="Q1022" s="21" t="inlineStr"/>
      <c r="R1022" s="40" t="n">
        <v>0</v>
      </c>
      <c r="S1022" s="21" t="inlineStr">
        <is>
          <t>DL:AAA 8 · IR5 30</t>
        </is>
      </c>
      <c r="T1022" s="21" t="inlineStr">
        <is>
          <t>From Ziggurat. Ziggurat’s most popular app after Ask Alex Anything, the Garden allows users to view and share content via the local Data Pool (see CP:R, page 280). Almost anyone who wants social visibility has a personal</t>
        </is>
      </c>
    </row>
    <row r="1023">
      <c r="A1023" s="21" t="inlineStr">
        <is>
          <t>Handprint Scanner</t>
        </is>
      </c>
      <c r="B1023" s="21" t="inlineStr">
        <is>
          <t>Снаряжение</t>
        </is>
      </c>
      <c r="C1023" s="21" t="inlineStr">
        <is>
          <t>Software</t>
        </is>
      </c>
      <c r="D1023" s="21" t="inlineStr"/>
      <c r="E1023" s="21" t="inlineStr"/>
      <c r="F1023" s="31" t="n"/>
      <c r="G1023" s="31" t="n"/>
      <c r="H1023" s="31" t="n"/>
      <c r="I1023" s="31" t="n"/>
      <c r="J1023" s="31" t="n">
        <v>0</v>
      </c>
      <c r="K1023" s="31" t="n">
        <v>0</v>
      </c>
      <c r="L1023" s="31" t="n">
        <v>0</v>
      </c>
      <c r="M1023" s="31" t="n">
        <v>0</v>
      </c>
      <c r="N1023" s="21" t="inlineStr"/>
      <c r="O1023" s="21" t="inlineStr"/>
      <c r="P1023" s="21" t="inlineStr"/>
      <c r="Q1023" s="21" t="inlineStr"/>
      <c r="R1023" s="40" t="n">
        <v>20</v>
      </c>
      <c r="S1023" s="21" t="inlineStr">
        <is>
          <t>DL:GQ 6</t>
        </is>
      </c>
      <c r="T1023" s="21" t="inlineStr">
        <is>
          <t xml:space="preserve">To make a Handprint Glove, you need a record of someone’s handprint. With your Agent, it’s duck soup. That means easy, kid. You can scan the hand itself, or blow some fine particulate matter onto prints left behind on a </t>
        </is>
      </c>
    </row>
    <row r="1024">
      <c r="A1024" s="21" t="inlineStr">
        <is>
          <t>HusTool</t>
        </is>
      </c>
      <c r="B1024" s="21" t="inlineStr">
        <is>
          <t>Снаряжение</t>
        </is>
      </c>
      <c r="C1024" s="21" t="inlineStr">
        <is>
          <t>Software</t>
        </is>
      </c>
      <c r="D1024" s="21" t="inlineStr"/>
      <c r="E1024" s="21" t="inlineStr">
        <is>
          <t>1d10</t>
        </is>
      </c>
      <c r="F1024" s="31" t="n"/>
      <c r="G1024" s="31" t="n"/>
      <c r="H1024" s="31" t="n"/>
      <c r="I1024" s="31" t="n"/>
      <c r="J1024" s="31" t="n">
        <v>0</v>
      </c>
      <c r="K1024" s="31" t="n">
        <v>0</v>
      </c>
      <c r="L1024" s="31" t="n">
        <v>0</v>
      </c>
      <c r="M1024" s="31" t="n">
        <v>0</v>
      </c>
      <c r="N1024" s="21" t="inlineStr"/>
      <c r="O1024" s="21" t="inlineStr"/>
      <c r="P1024" s="21" t="inlineStr"/>
      <c r="Q1024" s="21" t="inlineStr"/>
      <c r="R1024" s="40" t="n">
        <v>20</v>
      </c>
      <c r="S1024" s="21" t="inlineStr">
        <is>
          <t>DL:AAA 8 · IR5 30</t>
        </is>
      </c>
      <c r="T1024" s="21" t="inlineStr">
        <is>
          <t>From No/Brainer (a division of Gunmart). Everyone needs extra cash. HusTool lets you do odd jobs whenever you have a spare hour. Just hit the big PAY ME button to get an errand: delivering takeout, humping a sofa up some</t>
        </is>
      </c>
    </row>
    <row r="1025">
      <c r="A1025" s="21" t="inlineStr">
        <is>
          <t>NCPD Crime Database</t>
        </is>
      </c>
      <c r="B1025" s="21" t="inlineStr">
        <is>
          <t>Снаряжение</t>
        </is>
      </c>
      <c r="C1025" s="21" t="inlineStr">
        <is>
          <t>Software</t>
        </is>
      </c>
      <c r="D1025" s="21" t="inlineStr"/>
      <c r="E1025" s="21" t="inlineStr"/>
      <c r="F1025" s="31" t="n"/>
      <c r="G1025" s="31" t="n"/>
      <c r="H1025" s="31" t="n"/>
      <c r="I1025" s="31" t="n"/>
      <c r="J1025" s="31" t="n">
        <v>0</v>
      </c>
      <c r="K1025" s="31" t="n">
        <v>0</v>
      </c>
      <c r="L1025" s="31" t="n">
        <v>0</v>
      </c>
      <c r="M1025" s="31" t="n">
        <v>0</v>
      </c>
      <c r="N1025" s="21" t="inlineStr"/>
      <c r="O1025" s="21" t="inlineStr"/>
      <c r="P1025" s="21" t="inlineStr"/>
      <c r="Q1025" s="21" t="inlineStr"/>
      <c r="R1025" s="40" t="n">
        <v>500</v>
      </c>
      <c r="S1025" s="21" t="inlineStr">
        <is>
          <t>BC 13</t>
        </is>
      </c>
      <c r="T1025" s="21" t="inlineStr">
        <is>
          <t>The NCPD Crime Database links your Agent’s camera to the city’s crime records. The app allows the user to upload digital photos to the database, and then alerts the user if the people in the photo are wanted for any crim</t>
        </is>
      </c>
    </row>
    <row r="1026">
      <c r="A1026" s="21" t="inlineStr">
        <is>
          <t>Retina Scanner</t>
        </is>
      </c>
      <c r="B1026" s="21" t="inlineStr">
        <is>
          <t>Снаряжение</t>
        </is>
      </c>
      <c r="C1026" s="21" t="inlineStr">
        <is>
          <t>Software</t>
        </is>
      </c>
      <c r="D1026" s="21" t="inlineStr"/>
      <c r="E1026" s="21" t="inlineStr"/>
      <c r="F1026" s="31" t="n"/>
      <c r="G1026" s="31" t="n"/>
      <c r="H1026" s="31" t="n"/>
      <c r="I1026" s="31" t="n"/>
      <c r="J1026" s="31" t="n">
        <v>0</v>
      </c>
      <c r="K1026" s="31" t="n">
        <v>0</v>
      </c>
      <c r="L1026" s="31" t="n">
        <v>0</v>
      </c>
      <c r="M1026" s="31" t="n">
        <v>0</v>
      </c>
      <c r="N1026" s="21" t="inlineStr"/>
      <c r="O1026" s="21" t="inlineStr"/>
      <c r="P1026" s="21" t="inlineStr"/>
      <c r="Q1026" s="21" t="inlineStr"/>
      <c r="R1026" s="40" t="n">
        <v>50</v>
      </c>
      <c r="S1026" s="21" t="inlineStr">
        <is>
          <t>DL:GQ 7</t>
        </is>
      </c>
      <c r="T1026" s="21" t="inlineStr">
        <is>
          <t>Of course, to make a Retina Lens, you need a retinal pattern first. Back in the day, you needed an expensive, specialized device to scan someone’s eye. Now, you just need an app and an Agent. App. To record someone’s ret</t>
        </is>
      </c>
    </row>
    <row r="1027">
      <c r="A1027" s="21" t="inlineStr">
        <is>
          <t>Roach Race</t>
        </is>
      </c>
      <c r="B1027" s="21" t="inlineStr">
        <is>
          <t>Снаряжение</t>
        </is>
      </c>
      <c r="C1027" s="21" t="inlineStr">
        <is>
          <t>Software</t>
        </is>
      </c>
      <c r="D1027" s="21" t="inlineStr"/>
      <c r="E1027" s="21" t="inlineStr"/>
      <c r="F1027" s="31" t="n"/>
      <c r="G1027" s="31" t="n"/>
      <c r="H1027" s="31" t="n"/>
      <c r="I1027" s="31" t="n"/>
      <c r="J1027" s="31" t="n">
        <v>0</v>
      </c>
      <c r="K1027" s="31" t="n">
        <v>0</v>
      </c>
      <c r="L1027" s="31" t="n">
        <v>0</v>
      </c>
      <c r="M1027" s="31" t="n">
        <v>0</v>
      </c>
      <c r="N1027" s="21" t="inlineStr"/>
      <c r="O1027" s="21" t="inlineStr"/>
      <c r="P1027" s="21" t="inlineStr"/>
      <c r="Q1027" s="21" t="inlineStr"/>
      <c r="R1027" s="40" t="n">
        <v>20</v>
      </c>
      <c r="S1027" s="21" t="inlineStr">
        <is>
          <t>DL:AAA 8 · IR5 30</t>
        </is>
      </c>
      <c r="T1027" s="21" t="inlineStr">
        <is>
          <t>From CDP S. A. The sidescrolling arcade hit makes the jump to your Agent! Play a glitchy digital horse as it races through fantasy landscapes, fleeing its white-haired rider, evading monsters, jumping obstacles, and eati</t>
        </is>
      </c>
    </row>
    <row r="1028">
      <c r="A1028" s="21" t="inlineStr">
        <is>
          <t>Segotari Agent Game</t>
        </is>
      </c>
      <c r="B1028" s="21" t="inlineStr">
        <is>
          <t>Снаряжение</t>
        </is>
      </c>
      <c r="C1028" s="21" t="inlineStr">
        <is>
          <t>Software</t>
        </is>
      </c>
      <c r="D1028" s="21" t="inlineStr"/>
      <c r="E1028" s="21" t="inlineStr"/>
      <c r="F1028" s="31" t="n"/>
      <c r="G1028" s="31" t="n"/>
      <c r="H1028" s="31" t="n"/>
      <c r="I1028" s="31" t="n"/>
      <c r="J1028" s="31" t="n">
        <v>0</v>
      </c>
      <c r="K1028" s="31" t="n">
        <v>0</v>
      </c>
      <c r="L1028" s="31" t="n">
        <v>0</v>
      </c>
      <c r="M1028" s="31" t="n">
        <v>0</v>
      </c>
      <c r="N1028" s="21" t="inlineStr"/>
      <c r="O1028" s="21" t="inlineStr"/>
      <c r="P1028" s="21" t="inlineStr"/>
      <c r="Q1028" s="21" t="inlineStr"/>
      <c r="R1028" s="40" t="n">
        <v>20</v>
      </c>
      <c r="S1028" s="21" t="inlineStr">
        <is>
          <t>DL:Sego 12</t>
        </is>
      </c>
      <c r="T1028" s="21" t="inlineStr">
        <is>
          <t>Avg cost. Prices may vary. Game copy for Segotari Agent</t>
        </is>
      </c>
    </row>
    <row r="1029">
      <c r="A1029" s="21" t="inlineStr">
        <is>
          <t>Segotari Mindgames Chip</t>
        </is>
      </c>
      <c r="B1029" s="21" t="inlineStr">
        <is>
          <t>Снаряжение</t>
        </is>
      </c>
      <c r="C1029" s="21" t="inlineStr">
        <is>
          <t>Software</t>
        </is>
      </c>
      <c r="D1029" s="21" t="inlineStr"/>
      <c r="E1029" s="21" t="inlineStr"/>
      <c r="F1029" s="31" t="n"/>
      <c r="G1029" s="31" t="n"/>
      <c r="H1029" s="31" t="n"/>
      <c r="I1029" s="31" t="n"/>
      <c r="J1029" s="31" t="n">
        <v>0</v>
      </c>
      <c r="K1029" s="31" t="n">
        <v>0</v>
      </c>
      <c r="L1029" s="31" t="n">
        <v>0</v>
      </c>
      <c r="M1029" s="31" t="n">
        <v>0</v>
      </c>
      <c r="N1029" s="21" t="inlineStr"/>
      <c r="O1029" s="21" t="inlineStr"/>
      <c r="P1029" s="21" t="inlineStr"/>
      <c r="Q1029" s="21" t="inlineStr"/>
      <c r="R1029" s="40" t="n">
        <v>50</v>
      </c>
      <c r="S1029" s="21" t="inlineStr">
        <is>
          <t>DL:Sego 12</t>
        </is>
      </c>
      <c r="T1029" s="21" t="inlineStr">
        <is>
          <t>Avg cost. Prices may vary. Game copy in chip</t>
        </is>
      </c>
    </row>
    <row r="1030">
      <c r="A1030" s="21" t="inlineStr">
        <is>
          <t>Segotari RUSH Game (Used)</t>
        </is>
      </c>
      <c r="B1030" s="21" t="inlineStr">
        <is>
          <t>Снаряжение</t>
        </is>
      </c>
      <c r="C1030" s="21" t="inlineStr">
        <is>
          <t>Software</t>
        </is>
      </c>
      <c r="D1030" s="21" t="inlineStr"/>
      <c r="E1030" s="21" t="inlineStr"/>
      <c r="F1030" s="31" t="n"/>
      <c r="G1030" s="31" t="n"/>
      <c r="H1030" s="31" t="n"/>
      <c r="I1030" s="31" t="n"/>
      <c r="J1030" s="31" t="n">
        <v>0</v>
      </c>
      <c r="K1030" s="31" t="n">
        <v>0</v>
      </c>
      <c r="L1030" s="31" t="n">
        <v>0</v>
      </c>
      <c r="M1030" s="31" t="n">
        <v>0</v>
      </c>
      <c r="N1030" s="21" t="inlineStr"/>
      <c r="O1030" s="21" t="inlineStr"/>
      <c r="P1030" s="21" t="inlineStr"/>
      <c r="Q1030" s="21" t="inlineStr"/>
      <c r="R1030" s="40" t="n">
        <v>20</v>
      </c>
      <c r="S1030" s="21" t="inlineStr">
        <is>
          <t>DL:Sego 12</t>
        </is>
      </c>
      <c r="T1030" s="21" t="inlineStr">
        <is>
          <t>Avg cost. Prices may vary. Game copy for Segotari RUSH</t>
        </is>
      </c>
    </row>
    <row r="1031">
      <c r="A1031" s="21" t="inlineStr">
        <is>
          <t>S RUSH Revolution Game</t>
        </is>
      </c>
      <c r="B1031" s="21" t="inlineStr">
        <is>
          <t>Снаряжение</t>
        </is>
      </c>
      <c r="C1031" s="21" t="inlineStr">
        <is>
          <t>Software</t>
        </is>
      </c>
      <c r="D1031" s="21" t="inlineStr"/>
      <c r="E1031" s="21" t="inlineStr"/>
      <c r="F1031" s="31" t="n"/>
      <c r="G1031" s="31" t="n"/>
      <c r="H1031" s="31" t="n"/>
      <c r="I1031" s="31" t="n"/>
      <c r="J1031" s="31" t="n">
        <v>0</v>
      </c>
      <c r="K1031" s="31" t="n">
        <v>0</v>
      </c>
      <c r="L1031" s="31" t="n">
        <v>0</v>
      </c>
      <c r="M1031" s="31" t="n">
        <v>0</v>
      </c>
      <c r="N1031" s="21" t="inlineStr"/>
      <c r="O1031" s="21" t="inlineStr"/>
      <c r="P1031" s="21" t="inlineStr"/>
      <c r="Q1031" s="21" t="inlineStr"/>
      <c r="R1031" s="40" t="n">
        <v>50</v>
      </c>
      <c r="S1031" s="21" t="inlineStr">
        <is>
          <t>DL:Sego 12</t>
        </is>
      </c>
      <c r="T1031" s="21" t="inlineStr">
        <is>
          <t>Avg cost. Prices may vary. Game copy for Segotari RUSH Revolution</t>
        </is>
      </c>
    </row>
    <row r="1032">
      <c r="A1032" s="21" t="inlineStr">
        <is>
          <t>Trauma Team MedScan</t>
        </is>
      </c>
      <c r="B1032" s="21" t="inlineStr">
        <is>
          <t>Снаряжение</t>
        </is>
      </c>
      <c r="C1032" s="21" t="inlineStr">
        <is>
          <t>Software</t>
        </is>
      </c>
      <c r="D1032" s="21" t="inlineStr"/>
      <c r="E1032" s="21" t="inlineStr"/>
      <c r="F1032" s="31" t="n"/>
      <c r="G1032" s="31" t="n"/>
      <c r="H1032" s="31" t="n"/>
      <c r="I1032" s="31" t="n"/>
      <c r="J1032" s="31" t="n">
        <v>0</v>
      </c>
      <c r="K1032" s="31" t="n">
        <v>0</v>
      </c>
      <c r="L1032" s="31" t="n">
        <v>0</v>
      </c>
      <c r="M1032" s="31" t="n">
        <v>0</v>
      </c>
      <c r="N1032" s="21" t="inlineStr"/>
      <c r="O1032" s="21" t="inlineStr"/>
      <c r="P1032" s="21" t="inlineStr"/>
      <c r="Q1032" s="21" t="inlineStr"/>
      <c r="R1032" s="40" t="n">
        <v>20</v>
      </c>
      <c r="S1032" s="21" t="inlineStr">
        <is>
          <t>BC 14</t>
        </is>
      </c>
      <c r="T1032" s="21" t="inlineStr">
        <is>
          <t>While calling Trauma Team to fly in and save your ass might be tempting, it does come at a cost, and not everyone can afford a subscription. So why spend your hard-earned money when you can just download Trauma Team MedS</t>
        </is>
      </c>
    </row>
    <row r="1033">
      <c r="A1033" s="21" t="inlineStr">
        <is>
          <t>WatchBox</t>
        </is>
      </c>
      <c r="B1033" s="21" t="inlineStr">
        <is>
          <t>Снаряжение</t>
        </is>
      </c>
      <c r="C1033" s="21" t="inlineStr">
        <is>
          <t>Software</t>
        </is>
      </c>
      <c r="D1033" s="21" t="inlineStr"/>
      <c r="E1033" s="21" t="inlineStr"/>
      <c r="F1033" s="31" t="n"/>
      <c r="G1033" s="31" t="n"/>
      <c r="H1033" s="31" t="n"/>
      <c r="I1033" s="31" t="n"/>
      <c r="J1033" s="31" t="n">
        <v>0</v>
      </c>
      <c r="K1033" s="31" t="n">
        <v>0</v>
      </c>
      <c r="L1033" s="31" t="n">
        <v>0</v>
      </c>
      <c r="M1033" s="31" t="n">
        <v>0</v>
      </c>
      <c r="N1033" s="21" t="inlineStr"/>
      <c r="O1033" s="21" t="inlineStr"/>
      <c r="P1033" s="21" t="inlineStr"/>
      <c r="Q1033" s="21" t="inlineStr"/>
      <c r="R1033" s="40" t="n">
        <v>50</v>
      </c>
      <c r="S1033" s="21" t="inlineStr">
        <is>
          <t>DL:AAA 8 · IR5 30</t>
        </is>
      </c>
      <c r="T1033" s="21" t="inlineStr">
        <is>
          <t>From No/Brainer (a division of Gunmart). WatchBox uses your Agent’s existing sensors to cheaply secure whatever room the Agent is currently in. It’s easy to evade, but better than nothing. App. When the user sets the Age</t>
        </is>
      </c>
    </row>
    <row r="1034">
      <c r="A1034" s="21" t="inlineStr">
        <is>
          <t>Ziggurat City Database</t>
        </is>
      </c>
      <c r="B1034" s="21" t="inlineStr">
        <is>
          <t>Снаряжение</t>
        </is>
      </c>
      <c r="C1034" s="21" t="inlineStr">
        <is>
          <t>Software</t>
        </is>
      </c>
      <c r="D1034" s="21" t="inlineStr"/>
      <c r="E1034" s="21" t="inlineStr"/>
      <c r="F1034" s="31" t="n"/>
      <c r="G1034" s="31" t="n"/>
      <c r="H1034" s="31" t="n"/>
      <c r="I1034" s="31" t="n"/>
      <c r="J1034" s="31" t="n">
        <v>0</v>
      </c>
      <c r="K1034" s="31" t="n">
        <v>0</v>
      </c>
      <c r="L1034" s="31" t="n">
        <v>0</v>
      </c>
      <c r="M1034" s="31" t="n">
        <v>0</v>
      </c>
      <c r="N1034" s="21" t="inlineStr"/>
      <c r="O1034" s="21" t="inlineStr"/>
      <c r="P1034" s="21" t="inlineStr"/>
      <c r="Q1034" s="21" t="inlineStr"/>
      <c r="R1034" s="40" t="n">
        <v>100</v>
      </c>
      <c r="S1034" s="21" t="inlineStr">
        <is>
          <t>BC 14</t>
        </is>
      </c>
      <c r="T1034" s="21" t="inlineStr">
        <is>
          <t>The Ziggurat City Database is a passion project of Vice President of User Experience and party legend Bastion D. Fashion. Rumor has it they made use of their wide range of carousing contacts to gather the information nee</t>
        </is>
      </c>
    </row>
    <row r="1035">
      <c r="A1035" s="21" t="inlineStr">
        <is>
          <t>ZPost</t>
        </is>
      </c>
      <c r="B1035" s="21" t="inlineStr">
        <is>
          <t>Снаряжение</t>
        </is>
      </c>
      <c r="C1035" s="21" t="inlineStr">
        <is>
          <t>Software</t>
        </is>
      </c>
      <c r="D1035" s="21" t="inlineStr"/>
      <c r="E1035" s="21" t="inlineStr"/>
      <c r="F1035" s="31" t="n"/>
      <c r="G1035" s="31" t="n"/>
      <c r="H1035" s="31" t="n"/>
      <c r="I1035" s="31" t="n"/>
      <c r="J1035" s="31" t="n">
        <v>0</v>
      </c>
      <c r="K1035" s="31" t="n">
        <v>0</v>
      </c>
      <c r="L1035" s="31" t="n">
        <v>0</v>
      </c>
      <c r="M1035" s="31" t="n">
        <v>0</v>
      </c>
      <c r="N1035" s="21" t="inlineStr"/>
      <c r="O1035" s="21" t="inlineStr"/>
      <c r="P1035" s="21" t="inlineStr"/>
      <c r="Q1035" s="21" t="inlineStr"/>
      <c r="R1035" s="40" t="n">
        <v>0</v>
      </c>
      <c r="S1035" s="21" t="inlineStr">
        <is>
          <t>DL:AAA 8 · IR5 31</t>
        </is>
      </c>
      <c r="T1035" s="21" t="inlineStr">
        <is>
          <t>From Ziggurat. ZPost manages email. It has decent features and (probably) isn’t being remote monitored. App. Enables the user’s Agent to send, receive, read, and organize email and attached files.</t>
        </is>
      </c>
    </row>
    <row r="1036">
      <c r="A1036" s="21" t="inlineStr">
        <is>
          <t>Anti-Cerebral</t>
        </is>
      </c>
      <c r="B1036" s="21" t="inlineStr">
        <is>
          <t>Снаряжение</t>
        </is>
      </c>
      <c r="C1036" s="21" t="inlineStr">
        <is>
          <t>Street Drugs</t>
        </is>
      </c>
      <c r="D1036" s="21" t="inlineStr"/>
      <c r="E1036" s="21" t="inlineStr">
        <is>
          <t>1d6</t>
        </is>
      </c>
      <c r="F1036" s="31" t="n"/>
      <c r="G1036" s="31" t="n"/>
      <c r="H1036" s="31" t="n"/>
      <c r="I1036" s="31" t="n"/>
      <c r="J1036" s="31" t="n">
        <v>0</v>
      </c>
      <c r="K1036" s="31" t="n">
        <v>0</v>
      </c>
      <c r="L1036" s="31" t="n">
        <v>0</v>
      </c>
      <c r="M1036" s="31" t="n">
        <v>0</v>
      </c>
      <c r="N1036" s="21" t="inlineStr"/>
      <c r="O1036" s="21" t="inlineStr"/>
      <c r="P1036" s="21" t="inlineStr"/>
      <c r="Q1036" s="21" t="inlineStr"/>
      <c r="R1036" s="40" t="n">
        <v>60</v>
      </c>
      <c r="S1036" s="21" t="inlineStr">
        <is>
          <t>IR5 127</t>
        </is>
      </c>
      <c r="T1036" s="21" t="inlineStr">
        <is>
          <t>A dual function neurotoxin that spikes the subject’s cortisol levels and targets glial cells within the subject’s amygdala, dealing lasting damage to their ability to support neural regeneration and the neuroendocrine pr</t>
        </is>
      </c>
    </row>
    <row r="1037">
      <c r="A1037" s="21" t="inlineStr">
        <is>
          <t>Berserker</t>
        </is>
      </c>
      <c r="B1037" s="21" t="inlineStr">
        <is>
          <t>Снаряжение</t>
        </is>
      </c>
      <c r="C1037" s="21" t="inlineStr">
        <is>
          <t>Street Drugs</t>
        </is>
      </c>
      <c r="D1037" s="21" t="inlineStr"/>
      <c r="E1037" s="21" t="inlineStr"/>
      <c r="F1037" s="31" t="n"/>
      <c r="G1037" s="31" t="n"/>
      <c r="H1037" s="31" t="n"/>
      <c r="I1037" s="31" t="n"/>
      <c r="J1037" s="31" t="n">
        <v>0</v>
      </c>
      <c r="K1037" s="31" t="n">
        <v>0</v>
      </c>
      <c r="L1037" s="31" t="n">
        <v>0</v>
      </c>
      <c r="M1037" s="31" t="n">
        <v>0</v>
      </c>
      <c r="N1037" s="21" t="inlineStr"/>
      <c r="O1037" s="21" t="inlineStr"/>
      <c r="P1037" s="21" t="inlineStr"/>
      <c r="Q1037" s="21" t="inlineStr"/>
      <c r="R1037" s="40" t="n">
        <v>100</v>
      </c>
      <c r="S1037" s="21" t="inlineStr">
        <is>
          <t>DL:HP 2 · IR4 4</t>
        </is>
      </c>
      <c r="T1037" s="21" t="inlineStr">
        <is>
          <t>“Plan to walk into a fight you’re not ready for? Take some Berserker and at least your body won’t give out on you. I’ve seen a Solo on Berserker shrug off a rifle shot that blew off her leg, and proceed to strangle the s</t>
        </is>
      </c>
    </row>
    <row r="1038">
      <c r="A1038" s="21" t="inlineStr">
        <is>
          <t>Black Lace</t>
        </is>
      </c>
      <c r="B1038" s="21" t="inlineStr">
        <is>
          <t>Снаряжение</t>
        </is>
      </c>
      <c r="C1038" s="21" t="inlineStr">
        <is>
          <t>Street Drugs</t>
        </is>
      </c>
      <c r="D1038" s="21" t="inlineStr"/>
      <c r="E1038" s="21" t="inlineStr">
        <is>
          <t>2d6</t>
        </is>
      </c>
      <c r="F1038" s="31" t="n"/>
      <c r="G1038" s="31" t="n"/>
      <c r="H1038" s="31" t="n"/>
      <c r="I1038" s="31" t="n"/>
      <c r="J1038" s="31" t="n">
        <v>0</v>
      </c>
      <c r="K1038" s="31" t="n">
        <v>0</v>
      </c>
      <c r="L1038" s="31" t="n">
        <v>0</v>
      </c>
      <c r="M1038" s="31" t="n">
        <v>0</v>
      </c>
      <c r="N1038" s="21" t="inlineStr"/>
      <c r="O1038" s="21" t="inlineStr"/>
      <c r="P1038" s="21" t="inlineStr"/>
      <c r="Q1038" s="21" t="inlineStr"/>
      <c r="R1038" s="40" t="n">
        <v>50</v>
      </c>
      <c r="S1038" s="21" t="inlineStr">
        <is>
          <t>CP:R 357</t>
        </is>
      </c>
      <c r="T1038" s="21" t="inlineStr">
        <is>
          <t>Primary Effect • Lasts 24 Hours. • User takes 2d6 Humanity Loss upon taking a dose, which is returned if the user isn't affected by Black Lace's Secondary Effect. • For the duration of the Primary Effect, the user ignore</t>
        </is>
      </c>
    </row>
    <row r="1039">
      <c r="A1039" s="21" t="inlineStr">
        <is>
          <t>Blue Glass</t>
        </is>
      </c>
      <c r="B1039" s="21" t="inlineStr">
        <is>
          <t>Снаряжение</t>
        </is>
      </c>
      <c r="C1039" s="21" t="inlineStr">
        <is>
          <t>Street Drugs</t>
        </is>
      </c>
      <c r="D1039" s="21" t="inlineStr"/>
      <c r="E1039" s="21" t="inlineStr"/>
      <c r="F1039" s="31" t="n"/>
      <c r="G1039" s="31" t="n"/>
      <c r="H1039" s="31" t="n"/>
      <c r="I1039" s="31" t="n"/>
      <c r="J1039" s="31" t="n">
        <v>0</v>
      </c>
      <c r="K1039" s="31" t="n">
        <v>0</v>
      </c>
      <c r="L1039" s="31" t="n">
        <v>0</v>
      </c>
      <c r="M1039" s="31" t="n">
        <v>0</v>
      </c>
      <c r="N1039" s="21" t="inlineStr"/>
      <c r="O1039" s="21" t="inlineStr"/>
      <c r="P1039" s="21" t="inlineStr"/>
      <c r="Q1039" s="21" t="inlineStr"/>
      <c r="R1039" s="40" t="n">
        <v>20</v>
      </c>
      <c r="S1039" s="21" t="inlineStr">
        <is>
          <t>CP:R 357</t>
        </is>
      </c>
      <c r="T1039" s="21" t="inlineStr">
        <is>
          <t>Primary Effect • Lasts 4 Hours. • For the duration of the Primary Effect, The GM will occasionally tell you when you are "flashing out," meaning you are hallucinating swirls of vibrant colors in short, powerful bursts. Y</t>
        </is>
      </c>
    </row>
    <row r="1040">
      <c r="A1040" s="21" t="inlineStr">
        <is>
          <t>Boost</t>
        </is>
      </c>
      <c r="B1040" s="21" t="inlineStr">
        <is>
          <t>Снаряжение</t>
        </is>
      </c>
      <c r="C1040" s="21" t="inlineStr">
        <is>
          <t>Street Drugs</t>
        </is>
      </c>
      <c r="D1040" s="21" t="inlineStr"/>
      <c r="E1040" s="21" t="inlineStr"/>
      <c r="F1040" s="31" t="n"/>
      <c r="G1040" s="31" t="n"/>
      <c r="H1040" s="31" t="n"/>
      <c r="I1040" s="31" t="n"/>
      <c r="J1040" s="31" t="n">
        <v>0</v>
      </c>
      <c r="K1040" s="31" t="n">
        <v>0</v>
      </c>
      <c r="L1040" s="31" t="n">
        <v>0</v>
      </c>
      <c r="M1040" s="31" t="n">
        <v>0</v>
      </c>
      <c r="N1040" s="21" t="inlineStr"/>
      <c r="O1040" s="21" t="inlineStr"/>
      <c r="P1040" s="21" t="inlineStr"/>
      <c r="Q1040" s="21" t="inlineStr"/>
      <c r="R1040" s="40" t="n">
        <v>50</v>
      </c>
      <c r="S1040" s="21" t="inlineStr">
        <is>
          <t>CP:R 357</t>
        </is>
      </c>
      <c r="T1040" s="21" t="inlineStr">
        <is>
          <t>Primary Effect • Lasts 24 Hours. • For the duration of the Primary Effect, the user's INT increases by 2 points. This can raise your INT above 8. Secondary Effect (DV17) • If the user wasn't already addicted to Boost, th</t>
        </is>
      </c>
    </row>
    <row r="1041">
      <c r="A1041" s="21" t="inlineStr">
        <is>
          <t>Deliriant</t>
        </is>
      </c>
      <c r="B1041" s="21" t="inlineStr">
        <is>
          <t>Снаряжение</t>
        </is>
      </c>
      <c r="C1041" s="21" t="inlineStr">
        <is>
          <t>Street Drugs</t>
        </is>
      </c>
      <c r="D1041" s="21" t="inlineStr"/>
      <c r="E1041" s="21" t="inlineStr">
        <is>
          <t>1d6</t>
        </is>
      </c>
      <c r="F1041" s="31" t="n"/>
      <c r="G1041" s="31" t="n"/>
      <c r="H1041" s="31" t="n"/>
      <c r="I1041" s="31" t="n"/>
      <c r="J1041" s="31" t="n">
        <v>0</v>
      </c>
      <c r="K1041" s="31" t="n">
        <v>0</v>
      </c>
      <c r="L1041" s="31" t="n">
        <v>0</v>
      </c>
      <c r="M1041" s="31" t="n">
        <v>0</v>
      </c>
      <c r="N1041" s="21" t="inlineStr"/>
      <c r="O1041" s="21" t="inlineStr"/>
      <c r="P1041" s="21" t="inlineStr"/>
      <c r="Q1041" s="21" t="inlineStr"/>
      <c r="R1041" s="40" t="n">
        <v>50</v>
      </c>
      <c r="S1041" s="21" t="inlineStr">
        <is>
          <t>IR5 127</t>
        </is>
      </c>
      <c r="T1041" s="21" t="inlineStr">
        <is>
          <t>A calculatedly toxic dose of pure atropine, a compound which in lower doses is used to treat nerve gas victims. In Deliriant, however, it wreaks havoc on the subject’s nervous system, blocking muscarinic receptors, causi</t>
        </is>
      </c>
    </row>
    <row r="1042">
      <c r="A1042" s="21" t="inlineStr">
        <is>
          <t>Emerald City</t>
        </is>
      </c>
      <c r="B1042" s="21" t="inlineStr">
        <is>
          <t>Снаряжение</t>
        </is>
      </c>
      <c r="C1042" s="21" t="inlineStr">
        <is>
          <t>Street Drugs</t>
        </is>
      </c>
      <c r="D1042" s="21" t="inlineStr"/>
      <c r="E1042" s="21" t="inlineStr"/>
      <c r="F1042" s="31" t="n"/>
      <c r="G1042" s="31" t="n"/>
      <c r="H1042" s="31" t="n"/>
      <c r="I1042" s="31" t="n"/>
      <c r="J1042" s="31" t="n">
        <v>0</v>
      </c>
      <c r="K1042" s="31" t="n">
        <v>0</v>
      </c>
      <c r="L1042" s="31" t="n">
        <v>0</v>
      </c>
      <c r="M1042" s="31" t="n">
        <v>0</v>
      </c>
      <c r="N1042" s="21" t="inlineStr"/>
      <c r="O1042" s="21" t="inlineStr"/>
      <c r="P1042" s="21" t="inlineStr"/>
      <c r="Q1042" s="21" t="inlineStr"/>
      <c r="R1042" s="40" t="n">
        <v>100</v>
      </c>
      <c r="S1042" s="21" t="inlineStr">
        <is>
          <t>DL:JSK 4 · IR2 24</t>
        </is>
      </c>
      <c r="T1042" s="21" t="inlineStr">
        <is>
          <t>Primary Effect • Lasts 8 Hours. • For the duration of the Primary Effect, the user ignores the effects of the Seriously Wounded Wound State. • For the duration of the Primary Effect, The GM will occasionally tell you tha</t>
        </is>
      </c>
    </row>
    <row r="1043">
      <c r="A1043" s="21" t="inlineStr">
        <is>
          <t>Immunoblockers</t>
        </is>
      </c>
      <c r="B1043" s="21" t="inlineStr">
        <is>
          <t>Снаряжение</t>
        </is>
      </c>
      <c r="C1043" s="21" t="inlineStr">
        <is>
          <t>Street Drugs</t>
        </is>
      </c>
      <c r="D1043" s="21" t="inlineStr"/>
      <c r="E1043" s="21" t="inlineStr">
        <is>
          <t>2d6</t>
        </is>
      </c>
      <c r="F1043" s="31" t="n"/>
      <c r="G1043" s="31" t="n"/>
      <c r="H1043" s="31" t="n"/>
      <c r="I1043" s="31" t="n"/>
      <c r="J1043" s="31" t="n">
        <v>0</v>
      </c>
      <c r="K1043" s="31" t="n">
        <v>0</v>
      </c>
      <c r="L1043" s="31" t="n">
        <v>0</v>
      </c>
      <c r="M1043" s="31" t="n">
        <v>0</v>
      </c>
      <c r="N1043" s="21" t="inlineStr"/>
      <c r="O1043" s="21" t="inlineStr"/>
      <c r="P1043" s="21" t="inlineStr"/>
      <c r="Q1043" s="21" t="inlineStr"/>
      <c r="R1043" s="40" t="n">
        <v>100</v>
      </c>
      <c r="S1043" s="21" t="inlineStr">
        <is>
          <t>CEMK 30</t>
        </is>
      </c>
      <c r="T1043" s="21" t="inlineStr">
        <is>
          <t>Despite the name, this drug used to treat patients in danger of cyberpsychosis is actually a cocktail of immunoblockers, anti-psychotics, and other such chemicals. Primary Effect User restores 2d6 Humanity. This increase</t>
        </is>
      </c>
    </row>
    <row r="1044">
      <c r="A1044" s="21" t="inlineStr">
        <is>
          <t>Mindfire</t>
        </is>
      </c>
      <c r="B1044" s="21" t="inlineStr">
        <is>
          <t>Снаряжение</t>
        </is>
      </c>
      <c r="C1044" s="21" t="inlineStr">
        <is>
          <t>Street Drugs</t>
        </is>
      </c>
      <c r="D1044" s="21" t="inlineStr"/>
      <c r="E1044" s="21" t="inlineStr">
        <is>
          <t>1d6</t>
        </is>
      </c>
      <c r="F1044" s="31" t="n"/>
      <c r="G1044" s="31" t="n"/>
      <c r="H1044" s="31" t="n"/>
      <c r="I1044" s="31" t="n"/>
      <c r="J1044" s="31" t="n">
        <v>0</v>
      </c>
      <c r="K1044" s="31" t="n">
        <v>0</v>
      </c>
      <c r="L1044" s="31" t="n">
        <v>0</v>
      </c>
      <c r="M1044" s="31" t="n">
        <v>0</v>
      </c>
      <c r="N1044" s="21" t="inlineStr"/>
      <c r="O1044" s="21" t="inlineStr"/>
      <c r="P1044" s="21" t="inlineStr"/>
      <c r="Q1044" s="21" t="inlineStr"/>
      <c r="R1044" s="40" t="n">
        <v>50</v>
      </c>
      <c r="S1044" s="21" t="inlineStr">
        <is>
          <t>IR5 127</t>
        </is>
      </c>
      <c r="T1044" s="21" t="inlineStr">
        <is>
          <t>A modified form of the scopolamine contained within “Angel Trumpet” flowers, formulated to induce an extreme migraine in the subject. In many subjects, and particularly in those susceptible to migraines, Mindfire exposur</t>
        </is>
      </c>
    </row>
    <row r="1045">
      <c r="A1045" s="21" t="inlineStr">
        <is>
          <t>Mortalis</t>
        </is>
      </c>
      <c r="B1045" s="21" t="inlineStr">
        <is>
          <t>Снаряжение</t>
        </is>
      </c>
      <c r="C1045" s="21" t="inlineStr">
        <is>
          <t>Street Drugs</t>
        </is>
      </c>
      <c r="D1045" s="21" t="inlineStr"/>
      <c r="E1045" s="21" t="inlineStr"/>
      <c r="F1045" s="31" t="n"/>
      <c r="G1045" s="31" t="n"/>
      <c r="H1045" s="31" t="n"/>
      <c r="I1045" s="31" t="n"/>
      <c r="J1045" s="31" t="n">
        <v>0</v>
      </c>
      <c r="K1045" s="31" t="n">
        <v>0</v>
      </c>
      <c r="L1045" s="31" t="n">
        <v>0</v>
      </c>
      <c r="M1045" s="31" t="n">
        <v>0</v>
      </c>
      <c r="N1045" s="21" t="inlineStr"/>
      <c r="O1045" s="21" t="inlineStr"/>
      <c r="P1045" s="21" t="inlineStr"/>
      <c r="Q1045" s="21" t="inlineStr"/>
      <c r="R1045" s="40" t="n">
        <v>250</v>
      </c>
      <c r="S1045" s="21" t="inlineStr">
        <is>
          <t>IR5 127</t>
        </is>
      </c>
      <c r="T1045" s="21" t="inlineStr">
        <is>
          <t>A sophisticated chemical weapon that simulates a cardiac arrest in the subject. To mimic stopping the heart, it triggers an extreme histamine response in the subject’s vertebral and carotid arteries, inflaming them to te</t>
        </is>
      </c>
    </row>
    <row r="1046">
      <c r="A1046" s="21" t="inlineStr">
        <is>
          <t>Piranha Smash</t>
        </is>
      </c>
      <c r="B1046" s="21" t="inlineStr">
        <is>
          <t>Снаряжение</t>
        </is>
      </c>
      <c r="C1046" s="21" t="inlineStr">
        <is>
          <t>Street Drugs</t>
        </is>
      </c>
      <c r="D1046" s="21" t="inlineStr"/>
      <c r="E1046" s="21" t="inlineStr"/>
      <c r="F1046" s="31" t="n"/>
      <c r="G1046" s="31" t="n"/>
      <c r="H1046" s="31" t="n"/>
      <c r="I1046" s="31" t="n"/>
      <c r="J1046" s="31" t="n">
        <v>0</v>
      </c>
      <c r="K1046" s="31" t="n">
        <v>0</v>
      </c>
      <c r="L1046" s="31" t="n">
        <v>0</v>
      </c>
      <c r="M1046" s="31" t="n">
        <v>0</v>
      </c>
      <c r="N1046" s="21" t="inlineStr"/>
      <c r="O1046" s="21" t="inlineStr"/>
      <c r="P1046" s="21" t="inlineStr"/>
      <c r="Q1046" s="21" t="inlineStr"/>
      <c r="R1046" s="40" t="n">
        <v>10</v>
      </c>
      <c r="S1046" s="21" t="inlineStr">
        <is>
          <t>DL:BC+ 4 · DGD 148 · IR4 12</t>
        </is>
      </c>
      <c r="T1046" s="21" t="inlineStr">
        <is>
          <t>“I prefer it. Apparently, they found out how to remove one of the addictive additives via some sort of process and then added lime. I think there’s some chemistry involved, too. All I know is it’s tasty and makes you fee</t>
        </is>
      </c>
    </row>
    <row r="1047">
      <c r="A1047" s="21" t="inlineStr">
        <is>
          <t>Prime Time</t>
        </is>
      </c>
      <c r="B1047" s="21" t="inlineStr">
        <is>
          <t>Снаряжение</t>
        </is>
      </c>
      <c r="C1047" s="21" t="inlineStr">
        <is>
          <t>Street Drugs</t>
        </is>
      </c>
      <c r="D1047" s="21" t="inlineStr"/>
      <c r="E1047" s="21" t="inlineStr">
        <is>
          <t>4d6</t>
        </is>
      </c>
      <c r="F1047" s="31" t="n"/>
      <c r="G1047" s="31" t="n"/>
      <c r="H1047" s="31" t="n"/>
      <c r="I1047" s="31" t="n"/>
      <c r="J1047" s="31" t="n">
        <v>0</v>
      </c>
      <c r="K1047" s="31" t="n">
        <v>0</v>
      </c>
      <c r="L1047" s="31" t="n">
        <v>0</v>
      </c>
      <c r="M1047" s="31" t="n">
        <v>0</v>
      </c>
      <c r="N1047" s="21" t="inlineStr"/>
      <c r="O1047" s="21" t="inlineStr"/>
      <c r="P1047" s="21" t="inlineStr"/>
      <c r="Q1047" s="21" t="inlineStr"/>
      <c r="R1047" s="40" t="n">
        <v>50</v>
      </c>
      <c r="S1047" s="21" t="inlineStr">
        <is>
          <t>DL:HP 3 · IR4 5</t>
        </is>
      </c>
      <c r="T1047" s="21" t="inlineStr">
        <is>
          <t>“Formulated this little number myself, based on the old Militech combat drug. Used to make you a cold, calculated killer on the battlefield. Now, it makes you a cold, calculated killer in the office.” Primary Effect • La</t>
        </is>
      </c>
    </row>
    <row r="1048">
      <c r="A1048" s="21" t="inlineStr">
        <is>
          <t>Red Lace</t>
        </is>
      </c>
      <c r="B1048" s="21" t="inlineStr">
        <is>
          <t>Снаряжение</t>
        </is>
      </c>
      <c r="C1048" s="21" t="inlineStr">
        <is>
          <t>Street Drugs</t>
        </is>
      </c>
      <c r="D1048" s="21" t="inlineStr"/>
      <c r="E1048" s="21" t="inlineStr">
        <is>
          <t>1d6</t>
        </is>
      </c>
      <c r="F1048" s="31" t="n"/>
      <c r="G1048" s="31" t="n"/>
      <c r="H1048" s="31" t="n"/>
      <c r="I1048" s="31" t="n"/>
      <c r="J1048" s="31" t="n">
        <v>0</v>
      </c>
      <c r="K1048" s="31" t="n">
        <v>0</v>
      </c>
      <c r="L1048" s="31" t="n">
        <v>0</v>
      </c>
      <c r="M1048" s="31" t="n">
        <v>0</v>
      </c>
      <c r="N1048" s="21" t="inlineStr"/>
      <c r="O1048" s="21" t="inlineStr"/>
      <c r="P1048" s="21" t="inlineStr"/>
      <c r="Q1048" s="21" t="inlineStr"/>
      <c r="R1048" s="40" t="n">
        <v>110</v>
      </c>
      <c r="S1048" s="21" t="inlineStr">
        <is>
          <t>IR5 128</t>
        </is>
      </c>
      <c r="T1048" s="21" t="inlineStr">
        <is>
          <t>A lesser known street drug, Red Lace was originally developed as an aggression-enhancing companion to the defensively-oriented Black Lace. Ultimately, the ingredients to produce it proved too difficult to source for it e</t>
        </is>
      </c>
    </row>
    <row r="1049">
      <c r="A1049" s="21" t="inlineStr">
        <is>
          <t>Rime</t>
        </is>
      </c>
      <c r="B1049" s="21" t="inlineStr">
        <is>
          <t>Снаряжение</t>
        </is>
      </c>
      <c r="C1049" s="21" t="inlineStr">
        <is>
          <t>Street Drugs</t>
        </is>
      </c>
      <c r="D1049" s="21" t="inlineStr"/>
      <c r="E1049" s="21" t="inlineStr">
        <is>
          <t>1d6</t>
        </is>
      </c>
      <c r="F1049" s="31" t="n"/>
      <c r="G1049" s="31" t="n"/>
      <c r="H1049" s="31" t="n"/>
      <c r="I1049" s="31" t="n"/>
      <c r="J1049" s="31" t="n">
        <v>0</v>
      </c>
      <c r="K1049" s="31" t="n">
        <v>0</v>
      </c>
      <c r="L1049" s="31" t="n">
        <v>0</v>
      </c>
      <c r="M1049" s="31" t="n">
        <v>0</v>
      </c>
      <c r="N1049" s="21" t="inlineStr"/>
      <c r="O1049" s="21" t="inlineStr"/>
      <c r="P1049" s="21" t="inlineStr"/>
      <c r="Q1049" s="21" t="inlineStr"/>
      <c r="R1049" s="40" t="n">
        <v>60</v>
      </c>
      <c r="S1049" s="21" t="inlineStr">
        <is>
          <t>IR5 128</t>
        </is>
      </c>
      <c r="T1049" s="21" t="inlineStr">
        <is>
          <t>A chemical cocktail spiked with atropine and packaged in collagenolytic enzymes. By interacting with the subject’s spine tissue it induces low-intensity seizures that last for hours. Rime turned out to have little combat</t>
        </is>
      </c>
    </row>
    <row r="1050">
      <c r="A1050" s="21" t="inlineStr">
        <is>
          <t>Six Gun</t>
        </is>
      </c>
      <c r="B1050" s="21" t="inlineStr">
        <is>
          <t>Снаряжение</t>
        </is>
      </c>
      <c r="C1050" s="21" t="inlineStr">
        <is>
          <t>Street Drugs</t>
        </is>
      </c>
      <c r="D1050" s="21" t="inlineStr"/>
      <c r="E1050" s="21" t="inlineStr"/>
      <c r="F1050" s="31" t="n"/>
      <c r="G1050" s="31" t="n"/>
      <c r="H1050" s="31" t="n"/>
      <c r="I1050" s="31" t="n"/>
      <c r="J1050" s="31" t="n">
        <v>0</v>
      </c>
      <c r="K1050" s="31" t="n">
        <v>0</v>
      </c>
      <c r="L1050" s="31" t="n">
        <v>0</v>
      </c>
      <c r="M1050" s="31" t="n">
        <v>0</v>
      </c>
      <c r="N1050" s="21" t="inlineStr"/>
      <c r="O1050" s="21" t="inlineStr"/>
      <c r="P1050" s="21" t="inlineStr"/>
      <c r="Q1050" s="21" t="inlineStr"/>
      <c r="R1050" s="40" t="n">
        <v>100</v>
      </c>
      <c r="S1050" s="21" t="inlineStr">
        <is>
          <t>DL:HP 3 · IR4 5</t>
        </is>
      </c>
      <c r="T1050" s="21" t="inlineStr">
        <is>
          <t xml:space="preserve">“I’ve hired my fair share of Netrunners, and I always supply them with Sixgun. When you need someone to dive into a palace of military-grade Black ICE and burn a paper trail, you gotta give them the best tools.” Primary </t>
        </is>
      </c>
    </row>
    <row r="1051">
      <c r="A1051" s="21" t="inlineStr">
        <is>
          <t>Smash (Снаряжение)</t>
        </is>
      </c>
      <c r="B1051" s="21" t="inlineStr">
        <is>
          <t>Снаряжение</t>
        </is>
      </c>
      <c r="C1051" s="21" t="inlineStr">
        <is>
          <t>Street Drugs</t>
        </is>
      </c>
      <c r="D1051" s="21" t="inlineStr"/>
      <c r="E1051" s="21" t="inlineStr"/>
      <c r="F1051" s="31" t="n"/>
      <c r="G1051" s="31" t="n"/>
      <c r="H1051" s="31" t="n"/>
      <c r="I1051" s="31" t="n"/>
      <c r="J1051" s="31" t="n">
        <v>0</v>
      </c>
      <c r="K1051" s="31" t="n">
        <v>0</v>
      </c>
      <c r="L1051" s="31" t="n">
        <v>0</v>
      </c>
      <c r="M1051" s="31" t="n">
        <v>0</v>
      </c>
      <c r="N1051" s="21" t="inlineStr"/>
      <c r="O1051" s="21" t="inlineStr"/>
      <c r="P1051" s="21" t="inlineStr"/>
      <c r="Q1051" s="21" t="inlineStr"/>
      <c r="R1051" s="40" t="n">
        <v>10</v>
      </c>
      <c r="S1051" s="21" t="inlineStr">
        <is>
          <t>CP:R 357</t>
        </is>
      </c>
      <c r="T1051" s="21" t="inlineStr">
        <is>
          <t>Primary Effect • Lasts 4 Hours. • Yellow, foamy, and sold in cans everywhere. • For the duration of the Primary Effect, the user feels euphoric, loose, happy, and ready to party. In game terms this gives the user +2 to t</t>
        </is>
      </c>
    </row>
    <row r="1052">
      <c r="A1052" s="21" t="inlineStr">
        <is>
          <t>Synthcoke</t>
        </is>
      </c>
      <c r="B1052" s="21" t="inlineStr">
        <is>
          <t>Снаряжение</t>
        </is>
      </c>
      <c r="C1052" s="21" t="inlineStr">
        <is>
          <t>Street Drugs</t>
        </is>
      </c>
      <c r="D1052" s="21" t="inlineStr"/>
      <c r="E1052" s="21" t="inlineStr"/>
      <c r="F1052" s="31" t="n"/>
      <c r="G1052" s="31" t="n"/>
      <c r="H1052" s="31" t="n"/>
      <c r="I1052" s="31" t="n"/>
      <c r="J1052" s="31" t="n">
        <v>0</v>
      </c>
      <c r="K1052" s="31" t="n">
        <v>0</v>
      </c>
      <c r="L1052" s="31" t="n">
        <v>0</v>
      </c>
      <c r="M1052" s="31" t="n">
        <v>0</v>
      </c>
      <c r="N1052" s="21" t="inlineStr"/>
      <c r="O1052" s="21" t="inlineStr"/>
      <c r="P1052" s="21" t="inlineStr"/>
      <c r="Q1052" s="21" t="inlineStr"/>
      <c r="R1052" s="40" t="n">
        <v>20</v>
      </c>
      <c r="S1052" s="21" t="inlineStr">
        <is>
          <t>CP:R 358</t>
        </is>
      </c>
      <c r="T1052" s="21" t="inlineStr">
        <is>
          <t xml:space="preserve">Primary Effect • Lasts 4 Hours. • For the duration of the Primary Effect, the user's REF increases by 1 point. This can raise your REF above 8. In addition, they are prone to paranoid ideation. • For the duration of the </t>
        </is>
      </c>
    </row>
    <row r="1053">
      <c r="A1053" s="21" t="inlineStr">
        <is>
          <t>Terrifier</t>
        </is>
      </c>
      <c r="B1053" s="21" t="inlineStr">
        <is>
          <t>Снаряжение</t>
        </is>
      </c>
      <c r="C1053" s="21" t="inlineStr">
        <is>
          <t>Street Drugs</t>
        </is>
      </c>
      <c r="D1053" s="21" t="inlineStr"/>
      <c r="E1053" s="21" t="inlineStr"/>
      <c r="F1053" s="31" t="n"/>
      <c r="G1053" s="31" t="n"/>
      <c r="H1053" s="31" t="n"/>
      <c r="I1053" s="31" t="n"/>
      <c r="J1053" s="31" t="n">
        <v>0</v>
      </c>
      <c r="K1053" s="31" t="n">
        <v>0</v>
      </c>
      <c r="L1053" s="31" t="n">
        <v>0</v>
      </c>
      <c r="M1053" s="31" t="n">
        <v>0</v>
      </c>
      <c r="N1053" s="21" t="inlineStr"/>
      <c r="O1053" s="21" t="inlineStr"/>
      <c r="P1053" s="21" t="inlineStr"/>
      <c r="Q1053" s="21" t="inlineStr"/>
      <c r="R1053" s="40" t="n">
        <v>40</v>
      </c>
      <c r="S1053" s="21" t="inlineStr">
        <is>
          <t>IR5 128</t>
        </is>
      </c>
      <c r="T1053" s="21" t="inlineStr">
        <is>
          <t>A dual-enzyme chemical weapon, in which a neurotransmitter-inhibitor enzyme works in symphony with a second enzyme that artificially re-wires brain pathways critical to threat memory, to weaponize the subject’s own fight</t>
        </is>
      </c>
    </row>
    <row r="1054">
      <c r="A1054" s="21" t="inlineStr">
        <is>
          <t>Timewarp</t>
        </is>
      </c>
      <c r="B1054" s="21" t="inlineStr">
        <is>
          <t>Снаряжение</t>
        </is>
      </c>
      <c r="C1054" s="21" t="inlineStr">
        <is>
          <t>Street Drugs</t>
        </is>
      </c>
      <c r="D1054" s="21" t="inlineStr"/>
      <c r="E1054" s="21" t="inlineStr"/>
      <c r="F1054" s="31" t="n"/>
      <c r="G1054" s="31" t="n"/>
      <c r="H1054" s="31" t="n"/>
      <c r="I1054" s="31" t="n"/>
      <c r="J1054" s="31" t="n">
        <v>0</v>
      </c>
      <c r="K1054" s="31" t="n">
        <v>0</v>
      </c>
      <c r="L1054" s="31" t="n">
        <v>0</v>
      </c>
      <c r="M1054" s="31" t="n">
        <v>0</v>
      </c>
      <c r="N1054" s="21" t="inlineStr"/>
      <c r="O1054" s="21" t="inlineStr"/>
      <c r="P1054" s="21" t="inlineStr"/>
      <c r="Q1054" s="21" t="inlineStr"/>
      <c r="R1054" s="40" t="n">
        <v>100</v>
      </c>
      <c r="S1054" s="21" t="inlineStr">
        <is>
          <t>DL:HP 3 · IR4 5</t>
        </is>
      </c>
      <c r="T1054" s="21" t="inlineStr">
        <is>
          <t xml:space="preserve">“An Edgerunner has gotta stay sharp on The Street, and this’ll do it for you. Plenty of Solos stock this stuff in bulk to get even faster on the draw. Personally, I think it’s better for getting out of trouble than into </t>
        </is>
      </c>
    </row>
    <row r="1055">
      <c r="A1055" s="21" t="inlineStr">
        <is>
          <t>White Lace</t>
        </is>
      </c>
      <c r="B1055" s="21" t="inlineStr">
        <is>
          <t>Снаряжение</t>
        </is>
      </c>
      <c r="C1055" s="21" t="inlineStr">
        <is>
          <t>Street Drugs</t>
        </is>
      </c>
      <c r="D1055" s="21" t="inlineStr"/>
      <c r="E1055" s="21" t="inlineStr">
        <is>
          <t>1d6</t>
        </is>
      </c>
      <c r="F1055" s="31" t="n"/>
      <c r="G1055" s="31" t="n"/>
      <c r="H1055" s="31" t="n"/>
      <c r="I1055" s="31" t="n"/>
      <c r="J1055" s="31" t="n">
        <v>0</v>
      </c>
      <c r="K1055" s="31" t="n">
        <v>0</v>
      </c>
      <c r="L1055" s="31" t="n">
        <v>0</v>
      </c>
      <c r="M1055" s="31" t="n">
        <v>0</v>
      </c>
      <c r="N1055" s="21" t="inlineStr"/>
      <c r="O1055" s="21" t="inlineStr"/>
      <c r="P1055" s="21" t="inlineStr"/>
      <c r="Q1055" s="21" t="inlineStr"/>
      <c r="R1055" s="40" t="n">
        <v>20</v>
      </c>
      <c r="S1055" s="21" t="inlineStr">
        <is>
          <t>IR5 129</t>
        </is>
      </c>
      <c r="T1055" s="21" t="inlineStr">
        <is>
          <t>A street-synthesized drug that first popped up in the mercenary diaspora communities following the Second Central American War, created to stretch dwindling supplies of Black Lace by the newly addicted populous. As it sp</t>
        </is>
      </c>
    </row>
    <row r="1056">
      <c r="A1056" s="21" t="inlineStr">
        <is>
          <t>Very Heavy Melee Weapon</t>
        </is>
      </c>
      <c r="B1056" s="21" t="inlineStr">
        <is>
          <t>Ближний бой</t>
        </is>
      </c>
      <c r="C1056" s="21" t="inlineStr">
        <is>
          <t>Very Heavy Melee Weapon</t>
        </is>
      </c>
      <c r="D1056" s="21" t="inlineStr">
        <is>
          <t>Melee Weapon</t>
        </is>
      </c>
      <c r="E1056" s="21" t="inlineStr">
        <is>
          <t>4d6</t>
        </is>
      </c>
      <c r="F1056" s="31" t="n">
        <v>1</v>
      </c>
      <c r="G1056" s="31" t="n"/>
      <c r="H1056" s="31" t="n"/>
      <c r="I1056" s="31" t="n"/>
      <c r="J1056" s="31" t="n">
        <v>0</v>
      </c>
      <c r="K1056" s="31" t="n">
        <v>0</v>
      </c>
      <c r="L1056" s="31" t="n">
        <v>0</v>
      </c>
      <c r="M1056" s="31" t="n">
        <v>0</v>
      </c>
      <c r="N1056" s="21" t="inlineStr"/>
      <c r="O1056" s="21" t="inlineStr"/>
      <c r="P1056" s="21" t="inlineStr">
        <is>
          <t>NO</t>
        </is>
      </c>
      <c r="Q1056" s="21" t="inlineStr"/>
      <c r="R1056" s="40" t="n">
        <v>500</v>
      </c>
      <c r="S1056" s="21" t="inlineStr">
        <is>
          <t>CP:R 340</t>
        </is>
      </c>
      <c r="T1056" s="21" t="inlineStr">
        <is>
          <t>Generic Very Heavy Melee Weapon. Can be flavored as any that is not listed here. Example: Chainsaw, Sledgehammer, Helicopter Blades, Naginata</t>
        </is>
      </c>
    </row>
    <row r="1057">
      <c r="A1057" s="21" t="inlineStr">
        <is>
          <t>Arasaka Weeping Reaver</t>
        </is>
      </c>
      <c r="B1057" s="21" t="inlineStr">
        <is>
          <t>Ближний бой</t>
        </is>
      </c>
      <c r="C1057" s="21" t="inlineStr">
        <is>
          <t>Very Heavy Melee Weapon</t>
        </is>
      </c>
      <c r="D1057" s="21" t="inlineStr">
        <is>
          <t>Melee Weapon</t>
        </is>
      </c>
      <c r="E1057" s="21" t="inlineStr">
        <is>
          <t>4d6</t>
        </is>
      </c>
      <c r="F1057" s="31" t="n">
        <v>1</v>
      </c>
      <c r="G1057" s="31" t="n"/>
      <c r="H1057" s="31" t="n"/>
      <c r="I1057" s="31" t="n"/>
      <c r="J1057" s="31" t="n">
        <v>0</v>
      </c>
      <c r="K1057" s="31" t="n">
        <v>0</v>
      </c>
      <c r="L1057" s="31" t="n">
        <v>0</v>
      </c>
      <c r="M1057" s="31" t="n">
        <v>0</v>
      </c>
      <c r="N1057" s="21" t="inlineStr"/>
      <c r="O1057" s="21" t="inlineStr"/>
      <c r="P1057" s="21" t="inlineStr">
        <is>
          <t>NO</t>
        </is>
      </c>
      <c r="Q1057" s="21" t="inlineStr"/>
      <c r="R1057" s="40" t="n">
        <v>5000</v>
      </c>
      <c r="S1057" s="21" t="inlineStr">
        <is>
          <t>BC 91</t>
        </is>
      </c>
      <c r="T1057" s="21" t="inlineStr">
        <is>
          <t>The Arasaka Weeping Reaver Katana is a diamond steel katana which can be coated with a substance from its hilt. Selections include Arasaka Fire, Arasaka Acid, and Arasaka Wound Salt. Each fluid costs 100eb and lasts on t</t>
        </is>
      </c>
    </row>
    <row r="1058">
      <c r="A1058" s="21" t="inlineStr">
        <is>
          <t>Hello Cutie Hypurr-Hammer</t>
        </is>
      </c>
      <c r="B1058" s="21" t="inlineStr">
        <is>
          <t>Ближний бой</t>
        </is>
      </c>
      <c r="C1058" s="21" t="inlineStr">
        <is>
          <t>Very Heavy Melee Weapon</t>
        </is>
      </c>
      <c r="D1058" s="21" t="inlineStr">
        <is>
          <t>Melee Weapon</t>
        </is>
      </c>
      <c r="E1058" s="21" t="inlineStr">
        <is>
          <t>5d6/4</t>
        </is>
      </c>
      <c r="F1058" s="31" t="n">
        <v>1</v>
      </c>
      <c r="G1058" s="31" t="n"/>
      <c r="H1058" s="31" t="n"/>
      <c r="I1058" s="31" t="n"/>
      <c r="J1058" s="31" t="n">
        <v>0</v>
      </c>
      <c r="K1058" s="31" t="n">
        <v>0</v>
      </c>
      <c r="L1058" s="31" t="n">
        <v>0</v>
      </c>
      <c r="M1058" s="31" t="n">
        <v>0</v>
      </c>
      <c r="N1058" s="21" t="inlineStr"/>
      <c r="O1058" s="21" t="inlineStr"/>
      <c r="P1058" s="21" t="inlineStr">
        <is>
          <t>NO</t>
        </is>
      </c>
      <c r="Q1058" s="21" t="inlineStr"/>
      <c r="R1058" s="40" t="n">
        <v>1000</v>
      </c>
      <c r="S1058" s="21" t="inlineStr">
        <is>
          <t>DL:12Cute 4</t>
        </is>
      </c>
      <c r="T1058" s="21" t="inlineStr">
        <is>
          <t>It does not halve SP like other melee weapons, but when wielded by a user with BODY 9 or higher the damage is increased by +1d6, and when it deals a Critical Injury you can reroll and choose which of the two outcomes you</t>
        </is>
      </c>
    </row>
    <row r="1059">
      <c r="A1059" s="21" t="inlineStr">
        <is>
          <t>Kendachi Mono-Katana</t>
        </is>
      </c>
      <c r="B1059" s="21" t="inlineStr">
        <is>
          <t>Ближний бой</t>
        </is>
      </c>
      <c r="C1059" s="21" t="inlineStr">
        <is>
          <t>Very Heavy Melee Weapon</t>
        </is>
      </c>
      <c r="D1059" s="21" t="inlineStr">
        <is>
          <t>Melee Weapon</t>
        </is>
      </c>
      <c r="E1059" s="21" t="inlineStr">
        <is>
          <t>4d6</t>
        </is>
      </c>
      <c r="F1059" s="31" t="n">
        <v>1</v>
      </c>
      <c r="G1059" s="31" t="n"/>
      <c r="H1059" s="31" t="n"/>
      <c r="I1059" s="31" t="n"/>
      <c r="J1059" s="31" t="n">
        <v>0</v>
      </c>
      <c r="K1059" s="31" t="n">
        <v>0</v>
      </c>
      <c r="L1059" s="31" t="n">
        <v>0</v>
      </c>
      <c r="M1059" s="31" t="n">
        <v>0</v>
      </c>
      <c r="N1059" s="21" t="inlineStr"/>
      <c r="O1059" s="21" t="inlineStr"/>
      <c r="P1059" s="21" t="inlineStr">
        <is>
          <t>NO</t>
        </is>
      </c>
      <c r="Q1059" s="21" t="inlineStr"/>
      <c r="R1059" s="40" t="n">
        <v>1000</v>
      </c>
      <c r="S1059" s="21" t="inlineStr">
        <is>
          <t>BC 92</t>
        </is>
      </c>
      <c r="T1059" s="21" t="inlineStr">
        <is>
          <t>The Mono-Katana is a weapon that with the correct biometric key ignores all armor below SP7. Without the right key, this property is non-functional</t>
        </is>
      </c>
    </row>
    <row r="1060">
      <c r="A1060" s="21" t="inlineStr">
        <is>
          <t>Kendachi Mono-Three</t>
        </is>
      </c>
      <c r="B1060" s="21" t="inlineStr">
        <is>
          <t>Ближний бой</t>
        </is>
      </c>
      <c r="C1060" s="21" t="inlineStr">
        <is>
          <t>Very Heavy Melee Weapon</t>
        </is>
      </c>
      <c r="D1060" s="21" t="inlineStr">
        <is>
          <t>Melee Weapon</t>
        </is>
      </c>
      <c r="E1060" s="21" t="inlineStr">
        <is>
          <t>4d6</t>
        </is>
      </c>
      <c r="F1060" s="31" t="n">
        <v>1</v>
      </c>
      <c r="G1060" s="31" t="n"/>
      <c r="H1060" s="31" t="n"/>
      <c r="I1060" s="31" t="n"/>
      <c r="J1060" s="31" t="n">
        <v>0</v>
      </c>
      <c r="K1060" s="31" t="n">
        <v>0</v>
      </c>
      <c r="L1060" s="31" t="n">
        <v>0</v>
      </c>
      <c r="M1060" s="31" t="n">
        <v>0</v>
      </c>
      <c r="N1060" s="21" t="inlineStr"/>
      <c r="O1060" s="21" t="inlineStr"/>
      <c r="P1060" s="21" t="inlineStr">
        <is>
          <t>NO</t>
        </is>
      </c>
      <c r="Q1060" s="21" t="inlineStr"/>
      <c r="R1060" s="40" t="n">
        <v>5000</v>
      </c>
      <c r="S1060" s="21" t="inlineStr">
        <is>
          <t>CP:R 348</t>
        </is>
      </c>
      <c r="T1060" s="21" t="inlineStr">
        <is>
          <t>Excellent Quality Very Heavy Melee Weapon. With the correct biometric key, the Mono-Three ignores all armor below SP11. Without the right key, this property is non-functional</t>
        </is>
      </c>
    </row>
    <row r="1061">
      <c r="A1061" s="21" t="inlineStr">
        <is>
          <t>Rostović Kleaver</t>
        </is>
      </c>
      <c r="B1061" s="21" t="inlineStr">
        <is>
          <t>Ближний бой</t>
        </is>
      </c>
      <c r="C1061" s="21" t="inlineStr">
        <is>
          <t>Very Heavy Melee Weapon</t>
        </is>
      </c>
      <c r="D1061" s="21" t="inlineStr">
        <is>
          <t>Melee Weapon</t>
        </is>
      </c>
      <c r="E1061" s="21" t="inlineStr">
        <is>
          <t>4d6</t>
        </is>
      </c>
      <c r="F1061" s="31" t="n">
        <v>1</v>
      </c>
      <c r="G1061" s="31" t="n"/>
      <c r="H1061" s="31" t="n"/>
      <c r="I1061" s="31" t="n"/>
      <c r="J1061" s="31" t="n">
        <v>0</v>
      </c>
      <c r="K1061" s="31" t="n">
        <v>0</v>
      </c>
      <c r="L1061" s="31" t="n">
        <v>0</v>
      </c>
      <c r="M1061" s="31" t="n">
        <v>0</v>
      </c>
      <c r="N1061" s="21" t="inlineStr"/>
      <c r="O1061" s="21" t="inlineStr"/>
      <c r="P1061" s="21" t="inlineStr">
        <is>
          <t>NO</t>
        </is>
      </c>
      <c r="Q1061" s="21" t="inlineStr"/>
      <c r="R1061" s="40" t="n">
        <v>1000</v>
      </c>
      <c r="S1061" s="21" t="inlineStr">
        <is>
          <t>BC 94</t>
        </is>
      </c>
      <c r="T1061" s="21" t="inlineStr">
        <is>
          <t>The Rostović Kleaver is an extremely heavy sword which has the ability to heat itself up by vibrating at high speeds to melt through any armor lower than SP11 and set anything it touches on fire. It can vibrate for 5 min</t>
        </is>
      </c>
    </row>
    <row r="1062">
      <c r="A1062" s="21" t="inlineStr">
        <is>
          <t>SlamDance Ballistic Harpoon (Ближний бой)</t>
        </is>
      </c>
      <c r="B1062" s="21" t="inlineStr">
        <is>
          <t>Ближний бой</t>
        </is>
      </c>
      <c r="C1062" s="21" t="inlineStr">
        <is>
          <t>Very Heavy Melee Weapon</t>
        </is>
      </c>
      <c r="D1062" s="21" t="inlineStr">
        <is>
          <t>Melee Weapon</t>
        </is>
      </c>
      <c r="E1062" s="21" t="inlineStr">
        <is>
          <t>4d6</t>
        </is>
      </c>
      <c r="F1062" s="31" t="n">
        <v>1</v>
      </c>
      <c r="G1062" s="31" t="n"/>
      <c r="H1062" s="31" t="n"/>
      <c r="I1062" s="31" t="n"/>
      <c r="J1062" s="31" t="n">
        <v>0</v>
      </c>
      <c r="K1062" s="31" t="n">
        <v>0</v>
      </c>
      <c r="L1062" s="31" t="n">
        <v>0</v>
      </c>
      <c r="M1062" s="31" t="n">
        <v>0</v>
      </c>
      <c r="N1062" s="21" t="inlineStr"/>
      <c r="O1062" s="21" t="inlineStr"/>
      <c r="P1062" s="21" t="inlineStr">
        <is>
          <t>NO</t>
        </is>
      </c>
      <c r="Q1062" s="21" t="inlineStr"/>
      <c r="R1062" s="40" t="n">
        <v>1000</v>
      </c>
      <c r="S1062" s="21" t="inlineStr">
        <is>
          <t>DL:WG 5 · IR3 29</t>
        </is>
      </c>
      <c r="T1062" s="21" t="inlineStr">
        <is>
          <t>The SlamDance Ballistic Harpoon is a harpoon launched by a specialised crossbow. The harpoon can be fired using the Heavy Weapons skill and the Bows &amp; Crossbows range table and still ignores half of the target's armor SP</t>
        </is>
      </c>
    </row>
    <row r="1063">
      <c r="A1063" s="21" t="inlineStr">
        <is>
          <t>SlamDance Tasmanskiy Klô</t>
        </is>
      </c>
      <c r="B1063" s="21" t="inlineStr">
        <is>
          <t>Ближний бой</t>
        </is>
      </c>
      <c r="C1063" s="21" t="inlineStr">
        <is>
          <t>Very Heavy Melee Weapon</t>
        </is>
      </c>
      <c r="D1063" s="21" t="inlineStr">
        <is>
          <t>Melee Weapon</t>
        </is>
      </c>
      <c r="E1063" s="21" t="inlineStr">
        <is>
          <t>4d6</t>
        </is>
      </c>
      <c r="F1063" s="31" t="n">
        <v>1</v>
      </c>
      <c r="G1063" s="31" t="n"/>
      <c r="H1063" s="31" t="n"/>
      <c r="I1063" s="31" t="n"/>
      <c r="J1063" s="31" t="n">
        <v>0</v>
      </c>
      <c r="K1063" s="31" t="n">
        <v>0</v>
      </c>
      <c r="L1063" s="31" t="n">
        <v>0</v>
      </c>
      <c r="M1063" s="31" t="n">
        <v>0</v>
      </c>
      <c r="N1063" s="21" t="inlineStr"/>
      <c r="O1063" s="21" t="inlineStr"/>
      <c r="P1063" s="21" t="inlineStr">
        <is>
          <t>NO</t>
        </is>
      </c>
      <c r="Q1063" s="21" t="inlineStr"/>
      <c r="R1063" s="40" t="n">
        <v>5000</v>
      </c>
      <c r="S1063" s="21" t="inlineStr">
        <is>
          <t>BC 99</t>
        </is>
      </c>
      <c r="T1063" s="21" t="inlineStr">
        <is>
          <t xml:space="preserve">The Slamdance Tasmanskiy Klô is a Battleglove installed with three retractable claws and houses one slot which a Cyberarm option can be installed into. Threatening someone with a Tasmanskiy Klô gives +2 to Interrogation </t>
        </is>
      </c>
    </row>
    <row r="1064">
      <c r="A1064" s="21" t="inlineStr">
        <is>
          <t>Solo Wolf &amp; Bot “Mono-Katana”</t>
        </is>
      </c>
      <c r="B1064" s="21" t="inlineStr">
        <is>
          <t>Ближний бой</t>
        </is>
      </c>
      <c r="C1064" s="21" t="inlineStr">
        <is>
          <t>Very Heavy Melee Weapon</t>
        </is>
      </c>
      <c r="D1064" s="21" t="inlineStr">
        <is>
          <t>Melee Weapon</t>
        </is>
      </c>
      <c r="E1064" s="21" t="inlineStr">
        <is>
          <t>4d6</t>
        </is>
      </c>
      <c r="F1064" s="31" t="n">
        <v>1</v>
      </c>
      <c r="G1064" s="31" t="n"/>
      <c r="H1064" s="31" t="n"/>
      <c r="I1064" s="31" t="n"/>
      <c r="J1064" s="31" t="n">
        <v>0</v>
      </c>
      <c r="K1064" s="31" t="n">
        <v>0</v>
      </c>
      <c r="L1064" s="31" t="n">
        <v>0</v>
      </c>
      <c r="M1064" s="31" t="n">
        <v>0</v>
      </c>
      <c r="N1064" s="21" t="inlineStr"/>
      <c r="O1064" s="21" t="inlineStr"/>
      <c r="P1064" s="21" t="inlineStr">
        <is>
          <t>NO</t>
        </is>
      </c>
      <c r="Q1064" s="21" t="inlineStr"/>
      <c r="R1064" s="40" t="n">
        <v>100</v>
      </c>
      <c r="S1064" s="21" t="inlineStr">
        <is>
          <t>BC 92</t>
        </is>
      </c>
      <c r="T1064" s="21" t="inlineStr">
        <is>
          <t>The Solo Wolf and Bot Mono-Katana is a weapon made as merchandise for the anime Solo Wolf and Bot. They are easily mistaken for Kendachi Mono-Katanas. Poor Quality Two-Handed Very Heavy Melee Weapons</t>
        </is>
      </c>
    </row>
    <row r="1065">
      <c r="A1065" s="21" t="inlineStr">
        <is>
          <t>Zhirafa Rhinocefist</t>
        </is>
      </c>
      <c r="B1065" s="21" t="inlineStr">
        <is>
          <t>Ближний бой</t>
        </is>
      </c>
      <c r="C1065" s="21" t="inlineStr">
        <is>
          <t>Very Heavy Melee Weapon</t>
        </is>
      </c>
      <c r="D1065" s="21" t="inlineStr">
        <is>
          <t>Melee Weapon</t>
        </is>
      </c>
      <c r="E1065" s="21" t="inlineStr">
        <is>
          <t>4d6</t>
        </is>
      </c>
      <c r="F1065" s="31" t="n">
        <v>1</v>
      </c>
      <c r="G1065" s="31" t="n"/>
      <c r="H1065" s="31" t="n"/>
      <c r="I1065" s="31" t="n"/>
      <c r="J1065" s="31" t="n">
        <v>0</v>
      </c>
      <c r="K1065" s="31" t="n">
        <v>0</v>
      </c>
      <c r="L1065" s="31" t="n">
        <v>0</v>
      </c>
      <c r="M1065" s="31" t="n">
        <v>0</v>
      </c>
      <c r="N1065" s="21" t="inlineStr"/>
      <c r="O1065" s="21" t="inlineStr"/>
      <c r="P1065" s="21" t="inlineStr">
        <is>
          <t>NO</t>
        </is>
      </c>
      <c r="Q1065" s="21" t="inlineStr"/>
      <c r="R1065" s="40" t="n">
        <v>1000</v>
      </c>
      <c r="S1065" s="21" t="inlineStr">
        <is>
          <t>BC 95</t>
        </is>
      </c>
      <c r="T1065" s="21" t="inlineStr">
        <is>
          <t xml:space="preserve">The Zhirafa Rhinocefist is a large hydraulic gauntlet intended to be used in construction, which also increases its wearers punching strength. It requires the use of Interface Plugs. As an Action, the Rhinocefist can be </t>
        </is>
      </c>
    </row>
    <row r="1066">
      <c r="A1066" s="21" t="inlineStr">
        <is>
          <t>Very Heavy Pistol</t>
        </is>
      </c>
      <c r="B1066" s="21" t="inlineStr">
        <is>
          <t>Огнестрельное оружие</t>
        </is>
      </c>
      <c r="C1066" s="21" t="inlineStr">
        <is>
          <t>Very Heavy Pistol</t>
        </is>
      </c>
      <c r="D1066" s="21" t="inlineStr">
        <is>
          <t>Handgun</t>
        </is>
      </c>
      <c r="E1066" s="21" t="inlineStr">
        <is>
          <t>4d6</t>
        </is>
      </c>
      <c r="F1066" s="31" t="n">
        <v>1</v>
      </c>
      <c r="G1066" s="31" t="n">
        <v>8</v>
      </c>
      <c r="H1066" s="31" t="n"/>
      <c r="I1066" s="31" t="n"/>
      <c r="J1066" s="31" t="n">
        <v>0</v>
      </c>
      <c r="K1066" s="31" t="n">
        <v>0</v>
      </c>
      <c r="L1066" s="31" t="n">
        <v>0</v>
      </c>
      <c r="M1066" s="31" t="n">
        <v>0</v>
      </c>
      <c r="N1066" s="21" t="inlineStr"/>
      <c r="O1066" s="21" t="n">
        <v>1</v>
      </c>
      <c r="P1066" s="21" t="inlineStr">
        <is>
          <t>NO</t>
        </is>
      </c>
      <c r="Q1066" s="21" t="inlineStr">
        <is>
          <t>Standard</t>
        </is>
      </c>
      <c r="R1066" s="40" t="n">
        <v>100</v>
      </c>
      <c r="S1066" s="21" t="inlineStr">
        <is>
          <t>CP:R 341</t>
        </is>
      </c>
      <c r="T1066" s="21" t="inlineStr">
        <is>
          <t>Generic Very Heavy Pistol. Can be flavored as any that is not listed here.</t>
        </is>
      </c>
    </row>
    <row r="1067">
      <c r="A1067" s="21" t="inlineStr">
        <is>
          <t>Tommyknocker</t>
        </is>
      </c>
      <c r="B1067" s="21" t="inlineStr">
        <is>
          <t>Огнестрельное оружие</t>
        </is>
      </c>
      <c r="C1067" s="21" t="inlineStr">
        <is>
          <t>Very Heavy Pistol</t>
        </is>
      </c>
      <c r="D1067" s="21" t="inlineStr">
        <is>
          <t>Handgun / Shoulder Arms</t>
        </is>
      </c>
      <c r="E1067" s="21" t="inlineStr">
        <is>
          <t>4d6/5</t>
        </is>
      </c>
      <c r="F1067" s="31" t="n">
        <v>1</v>
      </c>
      <c r="G1067" s="31" t="inlineStr">
        <is>
          <t>8 / 2</t>
        </is>
      </c>
      <c r="H1067" s="31" t="n"/>
      <c r="I1067" s="31" t="n"/>
      <c r="J1067" s="31" t="n">
        <v>0</v>
      </c>
      <c r="K1067" s="31" t="n">
        <v>0</v>
      </c>
      <c r="L1067" s="31" t="n">
        <v>0</v>
      </c>
      <c r="M1067" s="31" t="n">
        <v>0</v>
      </c>
      <c r="N1067" s="21" t="inlineStr"/>
      <c r="O1067" s="21" t="inlineStr">
        <is>
          <t>2 / 1</t>
        </is>
      </c>
      <c r="P1067" s="21" t="inlineStr">
        <is>
          <t>NO</t>
        </is>
      </c>
      <c r="Q1067" s="21" t="inlineStr">
        <is>
          <t>Standard / Poor</t>
        </is>
      </c>
      <c r="R1067" s="40" t="n">
        <v>1000</v>
      </c>
      <c r="S1067" s="21" t="inlineStr">
        <is>
          <t>BC 123</t>
        </is>
      </c>
      <c r="T1067" s="21" t="inlineStr">
        <is>
          <t>The Centurion Essentials Tommyknocker is the guilty pleasure firearm of the rich. It is incredibly impractical but there is always some wanker who wants to look badass and thinks this “pistol” will do the job. The Tommyk</t>
        </is>
      </c>
    </row>
    <row r="1068">
      <c r="A1068" s="21" t="inlineStr">
        <is>
          <t>Westwood</t>
        </is>
      </c>
      <c r="B1068" s="21" t="inlineStr">
        <is>
          <t>Огнестрельное оружие</t>
        </is>
      </c>
      <c r="C1068" s="21" t="inlineStr">
        <is>
          <t>Very Heavy Pistol</t>
        </is>
      </c>
      <c r="D1068" s="21" t="inlineStr">
        <is>
          <t>Handgun</t>
        </is>
      </c>
      <c r="E1068" s="21" t="inlineStr">
        <is>
          <t>4d6</t>
        </is>
      </c>
      <c r="F1068" s="31" t="n">
        <v>1</v>
      </c>
      <c r="G1068" s="31" t="n">
        <v>6</v>
      </c>
      <c r="H1068" s="31" t="n"/>
      <c r="I1068" s="31" t="n"/>
      <c r="J1068" s="31" t="n">
        <v>0</v>
      </c>
      <c r="K1068" s="31" t="n">
        <v>0</v>
      </c>
      <c r="L1068" s="31" t="n">
        <v>0</v>
      </c>
      <c r="M1068" s="31" t="n">
        <v>0</v>
      </c>
      <c r="N1068" s="21" t="inlineStr"/>
      <c r="O1068" s="21" t="n">
        <v>1</v>
      </c>
      <c r="P1068" s="21" t="inlineStr">
        <is>
          <t>NO</t>
        </is>
      </c>
      <c r="Q1068" s="21" t="inlineStr">
        <is>
          <t>Standard</t>
        </is>
      </c>
      <c r="R1068" s="40" t="n">
        <v>500</v>
      </c>
      <c r="S1068" s="21" t="inlineStr">
        <is>
          <t>BC 121</t>
        </is>
      </c>
      <c r="T1068" s="21" t="inlineStr">
        <is>
          <t>The Westwood is part of the “Classic Guns of Film” series manufactured by Nova Arms. This chrome-plated .44 magnum pays homage to classic film with no expense spared to achieve supreme accuracy while still upgrading it t</t>
        </is>
      </c>
    </row>
    <row r="1069">
      <c r="A1069" s="21" t="inlineStr">
        <is>
          <t>WW1 Rifle/Pistol Conversion</t>
        </is>
      </c>
      <c r="B1069" s="21" t="inlineStr">
        <is>
          <t>Огнестрельное оружие</t>
        </is>
      </c>
      <c r="C1069" s="21" t="inlineStr">
        <is>
          <t>Very Heavy Pistol</t>
        </is>
      </c>
      <c r="D1069" s="21" t="inlineStr">
        <is>
          <t>Handgun</t>
        </is>
      </c>
      <c r="E1069" s="21" t="inlineStr">
        <is>
          <t>4d6</t>
        </is>
      </c>
      <c r="F1069" s="31" t="n">
        <v>1</v>
      </c>
      <c r="G1069" s="31" t="n">
        <v>5</v>
      </c>
      <c r="H1069" s="31" t="n"/>
      <c r="I1069" s="31" t="n"/>
      <c r="J1069" s="31" t="n">
        <v>0</v>
      </c>
      <c r="K1069" s="31" t="n">
        <v>0</v>
      </c>
      <c r="L1069" s="31" t="n">
        <v>0</v>
      </c>
      <c r="M1069" s="31" t="n">
        <v>0</v>
      </c>
      <c r="N1069" s="21" t="inlineStr"/>
      <c r="O1069" s="21" t="n">
        <v>1</v>
      </c>
      <c r="P1069" s="21" t="inlineStr">
        <is>
          <t>NO</t>
        </is>
      </c>
      <c r="Q1069" s="21" t="inlineStr">
        <is>
          <t>Poor</t>
        </is>
      </c>
      <c r="R1069" s="40" t="n">
        <v>20</v>
      </c>
      <c r="S1069" s="21" t="inlineStr">
        <is>
          <t>DL:BC+ 4 · IR4 12</t>
        </is>
      </c>
      <c r="T1069" s="21" t="inlineStr">
        <is>
          <t>“I think these are from Europe? I don’t know. I remember Molly saying it was an Obreaze? O-Brez? Something like that. We tested it, and it’s still working. Old guns never die, right?” A Poor Quality Very Heavy Pistol wit</t>
        </is>
      </c>
    </row>
    <row r="1070">
      <c r="A1070" s="21" t="inlineStr">
        <is>
          <t>Con Arms Multi Ammo Pistol</t>
        </is>
      </c>
      <c r="B1070" s="21" t="inlineStr">
        <is>
          <t>Огнестрельное оружие</t>
        </is>
      </c>
      <c r="C1070" s="21" t="inlineStr">
        <is>
          <t>Very Heavy Pistol</t>
        </is>
      </c>
      <c r="D1070" s="21" t="inlineStr">
        <is>
          <t>Handgun</t>
        </is>
      </c>
      <c r="E1070" s="21" t="inlineStr">
        <is>
          <t>4d6</t>
        </is>
      </c>
      <c r="F1070" s="31" t="n">
        <v>1</v>
      </c>
      <c r="G1070" s="31" t="n">
        <v>5</v>
      </c>
      <c r="H1070" s="31" t="n"/>
      <c r="I1070" s="31" t="n"/>
      <c r="J1070" s="31" t="n">
        <v>0</v>
      </c>
      <c r="K1070" s="31" t="n">
        <v>0</v>
      </c>
      <c r="L1070" s="31" t="n">
        <v>0</v>
      </c>
      <c r="M1070" s="31" t="n">
        <v>0</v>
      </c>
      <c r="N1070" s="21" t="inlineStr"/>
      <c r="O1070" s="21" t="n">
        <v>1</v>
      </c>
      <c r="P1070" s="21" t="inlineStr">
        <is>
          <t>NO</t>
        </is>
      </c>
      <c r="Q1070" s="21" t="inlineStr">
        <is>
          <t>Standard</t>
        </is>
      </c>
      <c r="R1070" s="40" t="n">
        <v>500</v>
      </c>
      <c r="S1070" s="21" t="inlineStr">
        <is>
          <t>DL:12Gun 3 · DGD 144</t>
        </is>
      </c>
      <c r="T1070" s="21" t="inlineStr">
        <is>
          <t>The Constitutional Arms Multiple Ammunition Pistol is an Exotic Very Heavy Pistol with a 5-shot capacity. Unlike other weapons, you can load this weapon with a mix of up to five different kinds of Very Heavy Pistol Ammun</t>
        </is>
      </c>
    </row>
    <row r="1071">
      <c r="A1071" s="21" t="inlineStr">
        <is>
          <t>Dartgun (Огнестрельное оружие)</t>
        </is>
      </c>
      <c r="B1071" s="21" t="inlineStr">
        <is>
          <t>Огнестрельное оружие</t>
        </is>
      </c>
      <c r="C1071" s="21" t="inlineStr">
        <is>
          <t>Very Heavy Pistol</t>
        </is>
      </c>
      <c r="D1071" s="21" t="inlineStr">
        <is>
          <t>Handgun</t>
        </is>
      </c>
      <c r="E1071" s="21" t="inlineStr">
        <is>
          <t>4d6</t>
        </is>
      </c>
      <c r="F1071" s="31" t="n">
        <v>1</v>
      </c>
      <c r="G1071" s="31" t="n">
        <v>8</v>
      </c>
      <c r="H1071" s="31" t="n"/>
      <c r="I1071" s="31" t="n"/>
      <c r="J1071" s="31" t="n">
        <v>0</v>
      </c>
      <c r="K1071" s="31" t="n">
        <v>0</v>
      </c>
      <c r="L1071" s="31" t="n">
        <v>0</v>
      </c>
      <c r="M1071" s="31" t="n">
        <v>0</v>
      </c>
      <c r="N1071" s="21" t="inlineStr"/>
      <c r="O1071" s="21" t="n">
        <v>1</v>
      </c>
      <c r="P1071" s="21" t="inlineStr">
        <is>
          <t>NO</t>
        </is>
      </c>
      <c r="Q1071" s="21" t="inlineStr">
        <is>
          <t>Standard</t>
        </is>
      </c>
      <c r="R1071" s="40" t="n">
        <v>100</v>
      </c>
      <c r="S1071" s="21" t="inlineStr">
        <is>
          <t>CP:R 348</t>
        </is>
      </c>
      <c r="T1071" s="21" t="inlineStr">
        <is>
          <t>An Exotic Very Heavy Pistol that can only load Non-Basic Arrow Ammunition. Unlike other weapons that fire Arrows, a Dartgun has a clip of 8 Non-Basic Arrows and must be reloaded just like a typical Very Heavy Pistol.</t>
        </is>
      </c>
    </row>
    <row r="1072">
      <c r="A1072" s="21" t="inlineStr">
        <is>
          <t>Hello Cutie Janus Hex</t>
        </is>
      </c>
      <c r="B1072" s="21" t="inlineStr">
        <is>
          <t>Огнестрельное оружие</t>
        </is>
      </c>
      <c r="C1072" s="21" t="inlineStr">
        <is>
          <t>Very Heavy Pistol</t>
        </is>
      </c>
      <c r="D1072" s="21" t="inlineStr">
        <is>
          <t>Handgun</t>
        </is>
      </c>
      <c r="E1072" s="21" t="inlineStr">
        <is>
          <t>1d6</t>
        </is>
      </c>
      <c r="F1072" s="31" t="n">
        <v>1</v>
      </c>
      <c r="G1072" s="31" t="n">
        <v>2</v>
      </c>
      <c r="H1072" s="31" t="n"/>
      <c r="I1072" s="31" t="n"/>
      <c r="J1072" s="31" t="n">
        <v>0</v>
      </c>
      <c r="K1072" s="31" t="n">
        <v>0</v>
      </c>
      <c r="L1072" s="31" t="n">
        <v>0</v>
      </c>
      <c r="M1072" s="31" t="n">
        <v>0</v>
      </c>
      <c r="N1072" s="21" t="inlineStr"/>
      <c r="O1072" s="21" t="n">
        <v>1</v>
      </c>
      <c r="P1072" s="21" t="inlineStr">
        <is>
          <t>YES</t>
        </is>
      </c>
      <c r="Q1072" s="21" t="inlineStr">
        <is>
          <t>Standard</t>
        </is>
      </c>
      <c r="R1072" s="40" t="n">
        <v>500</v>
      </c>
      <c r="S1072" s="21" t="inlineStr">
        <is>
          <t>DL:12Cute 4</t>
        </is>
      </c>
      <c r="T1072" s="21" t="inlineStr">
        <is>
          <t>Matte black with masculine chrome magenta accents, the Janus Hex is a weapon for the desirable male, designed to politely fend off unwanted attention. Custom-made by Sanroo in partnership with the chromatic rock idol gro</t>
        </is>
      </c>
    </row>
    <row r="1073">
      <c r="A1073" s="21" t="inlineStr">
        <is>
          <t>Faisal’s Convenience</t>
        </is>
      </c>
      <c r="B1073" s="21" t="inlineStr">
        <is>
          <t>Огнестрельное оружие</t>
        </is>
      </c>
      <c r="C1073" s="21" t="inlineStr">
        <is>
          <t>Very Heavy Pistol</t>
        </is>
      </c>
      <c r="D1073" s="21" t="inlineStr">
        <is>
          <t>Handgun</t>
        </is>
      </c>
      <c r="E1073" s="21" t="inlineStr">
        <is>
          <t>4d6</t>
        </is>
      </c>
      <c r="F1073" s="31" t="n">
        <v>1</v>
      </c>
      <c r="G1073" s="31" t="n">
        <v>8</v>
      </c>
      <c r="H1073" s="31" t="n"/>
      <c r="I1073" s="31" t="n"/>
      <c r="J1073" s="31" t="n">
        <v>0</v>
      </c>
      <c r="K1073" s="31" t="n">
        <v>0</v>
      </c>
      <c r="L1073" s="31" t="n">
        <v>0</v>
      </c>
      <c r="M1073" s="31" t="n">
        <v>0</v>
      </c>
      <c r="N1073" s="21" t="inlineStr"/>
      <c r="O1073" s="21" t="n">
        <v>1</v>
      </c>
      <c r="P1073" s="21" t="inlineStr">
        <is>
          <t>NO</t>
        </is>
      </c>
      <c r="Q1073" s="21" t="inlineStr">
        <is>
          <t>Standard</t>
        </is>
      </c>
      <c r="R1073" s="40" t="n">
        <v>20</v>
      </c>
      <c r="S1073" s="21" t="inlineStr">
        <is>
          <t>DL:TT 5 · IR5 39</t>
        </is>
      </c>
      <c r="T1073" s="21" t="inlineStr">
        <is>
          <t>The cheapest quality hand cannon on the market today. Designed by Night City’s newest wiz weaponsmith, the Convenience is a (relatively) high-quality polymer oneshot. Once it runs out of ammo, it can be used as a doorsto</t>
        </is>
      </c>
    </row>
    <row r="1074">
      <c r="A1074" s="21" t="inlineStr">
        <is>
          <t>Fed Arms Super Chief Plus</t>
        </is>
      </c>
      <c r="B1074" s="21" t="inlineStr">
        <is>
          <t>Огнестрельное оружие</t>
        </is>
      </c>
      <c r="C1074" s="21" t="inlineStr">
        <is>
          <t>Very Heavy Pistol</t>
        </is>
      </c>
      <c r="D1074" s="21" t="inlineStr">
        <is>
          <t>Handgun</t>
        </is>
      </c>
      <c r="E1074" s="21" t="inlineStr">
        <is>
          <t>4d6</t>
        </is>
      </c>
      <c r="F1074" s="31" t="n">
        <v>1</v>
      </c>
      <c r="G1074" s="31" t="n">
        <v>8</v>
      </c>
      <c r="H1074" s="31" t="n"/>
      <c r="I1074" s="31" t="n"/>
      <c r="J1074" s="31" t="n">
        <v>0</v>
      </c>
      <c r="K1074" s="31" t="n">
        <v>0</v>
      </c>
      <c r="L1074" s="31" t="n">
        <v>0</v>
      </c>
      <c r="M1074" s="31" t="n">
        <v>0</v>
      </c>
      <c r="N1074" s="21" t="inlineStr"/>
      <c r="O1074" s="21" t="n">
        <v>1</v>
      </c>
      <c r="P1074" s="21" t="inlineStr">
        <is>
          <t>NO</t>
        </is>
      </c>
      <c r="Q1074" s="21" t="inlineStr">
        <is>
          <t>Poor</t>
        </is>
      </c>
      <c r="R1074" s="40" t="n">
        <v>50</v>
      </c>
      <c r="S1074" s="21" t="inlineStr">
        <is>
          <t>CP:R 342 · DL:TT 5 · IR5 39</t>
        </is>
      </c>
      <c r="T1074" s="21" t="inlineStr">
        <is>
          <t xml:space="preserve">When Nova Arms released a full line of “Cityhunter” firearms, their rival Federated Arms responded by expanding the “Super Chief” brand. Unfortunately, they skimped on quality as they rushed the design process to get to </t>
        </is>
      </c>
    </row>
    <row r="1075">
      <c r="A1075" s="21" t="inlineStr">
        <is>
          <t>Fire Extinguisher</t>
        </is>
      </c>
      <c r="B1075" s="21" t="inlineStr">
        <is>
          <t>Огнестрельное оружие</t>
        </is>
      </c>
      <c r="C1075" s="21" t="inlineStr">
        <is>
          <t>Very Heavy Pistol</t>
        </is>
      </c>
      <c r="D1075" s="21" t="inlineStr">
        <is>
          <t>Handgun</t>
        </is>
      </c>
      <c r="E1075" s="21" t="inlineStr">
        <is>
          <t>4d6</t>
        </is>
      </c>
      <c r="F1075" s="31" t="n">
        <v>1</v>
      </c>
      <c r="G1075" s="31" t="n">
        <v>5</v>
      </c>
      <c r="H1075" s="31" t="n"/>
      <c r="I1075" s="31" t="n"/>
      <c r="J1075" s="31" t="n">
        <v>0</v>
      </c>
      <c r="K1075" s="31" t="n">
        <v>0</v>
      </c>
      <c r="L1075" s="31" t="n">
        <v>0</v>
      </c>
      <c r="M1075" s="31" t="n">
        <v>0</v>
      </c>
      <c r="N1075" s="21" t="inlineStr"/>
      <c r="O1075" s="21" t="n">
        <v>2</v>
      </c>
      <c r="P1075" s="21" t="inlineStr">
        <is>
          <t>NO</t>
        </is>
      </c>
      <c r="Q1075" s="21" t="inlineStr">
        <is>
          <t>Standard</t>
        </is>
      </c>
      <c r="R1075" s="40" t="n">
        <v>50</v>
      </c>
      <c r="S1075" s="21" t="inlineStr">
        <is>
          <t>T:Hope 34</t>
        </is>
      </c>
      <c r="T1075" s="21" t="inlineStr">
        <is>
          <t>A Two-Handed Exotic Very Heavy Pistol with a 5-shot capacity and a maximum range of 6 m/yds (3 squares). The foam produced by the fire extinguisher causes damage to fire with Hit Points, extinguishing the blaze when it h</t>
        </is>
      </c>
    </row>
    <row r="1076">
      <c r="A1076" s="21" t="inlineStr">
        <is>
          <t>Magnum Opus Hellbringer</t>
        </is>
      </c>
      <c r="B1076" s="21" t="inlineStr">
        <is>
          <t>Огнестрельное оружие</t>
        </is>
      </c>
      <c r="C1076" s="21" t="inlineStr">
        <is>
          <t>Very Heavy Pistol</t>
        </is>
      </c>
      <c r="D1076" s="21" t="inlineStr">
        <is>
          <t>Handgun</t>
        </is>
      </c>
      <c r="E1076" s="21" t="inlineStr">
        <is>
          <t>5d6</t>
        </is>
      </c>
      <c r="F1076" s="31" t="n">
        <v>1</v>
      </c>
      <c r="G1076" s="31" t="n">
        <v>3</v>
      </c>
      <c r="H1076" s="31" t="n"/>
      <c r="I1076" s="31" t="n"/>
      <c r="J1076" s="31" t="n">
        <v>0</v>
      </c>
      <c r="K1076" s="31" t="n">
        <v>0</v>
      </c>
      <c r="L1076" s="31" t="n">
        <v>0</v>
      </c>
      <c r="M1076" s="31" t="n">
        <v>0</v>
      </c>
      <c r="N1076" s="21" t="inlineStr"/>
      <c r="O1076" s="21" t="n">
        <v>1</v>
      </c>
      <c r="P1076" s="21" t="inlineStr">
        <is>
          <t>NO</t>
        </is>
      </c>
      <c r="Q1076" s="21" t="inlineStr">
        <is>
          <t>Standard</t>
        </is>
      </c>
      <c r="R1076" s="40" t="n">
        <v>1000</v>
      </c>
      <c r="S1076" s="21" t="inlineStr">
        <is>
          <t>DL:12Gun 4 · DGD 144</t>
        </is>
      </c>
      <c r="T1076" s="21" t="inlineStr">
        <is>
          <t xml:space="preserve">The Magnum Opus Hellbringer is an Exotic Very Heavy Pistol with a 3-shot capacity. It deals 5d6 damage with a single shot, but if fired by a user without BODY 10 or higher, the weapon jams after each shot. Unjamming the </t>
        </is>
      </c>
    </row>
    <row r="1077">
      <c r="A1077" s="21" t="inlineStr">
        <is>
          <t>Malorian Arms 3516</t>
        </is>
      </c>
      <c r="B1077" s="21" t="inlineStr">
        <is>
          <t>Огнестрельное оружие</t>
        </is>
      </c>
      <c r="C1077" s="21" t="inlineStr">
        <is>
          <t>Very Heavy Pistol</t>
        </is>
      </c>
      <c r="D1077" s="21" t="inlineStr">
        <is>
          <t>Handgun</t>
        </is>
      </c>
      <c r="E1077" s="21" t="inlineStr">
        <is>
          <t>5d6</t>
        </is>
      </c>
      <c r="F1077" s="31" t="n">
        <v>1</v>
      </c>
      <c r="G1077" s="31" t="n">
        <v>8</v>
      </c>
      <c r="H1077" s="31" t="n"/>
      <c r="I1077" s="31" t="n"/>
      <c r="J1077" s="31" t="n">
        <v>0</v>
      </c>
      <c r="K1077" s="31" t="n">
        <v>0</v>
      </c>
      <c r="L1077" s="31" t="n">
        <v>0</v>
      </c>
      <c r="M1077" s="31" t="n">
        <v>0</v>
      </c>
      <c r="N1077" s="21" t="inlineStr"/>
      <c r="O1077" s="21" t="n">
        <v>1</v>
      </c>
      <c r="P1077" s="21" t="inlineStr">
        <is>
          <t>NO</t>
        </is>
      </c>
      <c r="Q1077" s="21" t="inlineStr">
        <is>
          <t>Excellent</t>
        </is>
      </c>
      <c r="R1077" s="40" t="n">
        <v>10000</v>
      </c>
      <c r="S1077" s="21" t="inlineStr">
        <is>
          <t>CP:R 348</t>
        </is>
      </c>
      <c r="T1077" s="21" t="inlineStr">
        <is>
          <t xml:space="preserve">An Excellent Quality Exotic Very Heavy Pistol. It deals 5d6 damage with a single shot, and comes permanently installed with the Smartgun Link weapon attachment which must be connected (via Interface Plugs or a Subdermal </t>
        </is>
      </c>
    </row>
    <row r="1078">
      <c r="A1078" s="21" t="inlineStr">
        <is>
          <t>Microwaver</t>
        </is>
      </c>
      <c r="B1078" s="21" t="inlineStr">
        <is>
          <t>Огнестрельное оружие</t>
        </is>
      </c>
      <c r="C1078" s="21" t="inlineStr">
        <is>
          <t>Very Heavy Pistol</t>
        </is>
      </c>
      <c r="D1078" s="21" t="inlineStr">
        <is>
          <t>Handgun</t>
        </is>
      </c>
      <c r="E1078" s="21" t="inlineStr">
        <is>
          <t>0.0</t>
        </is>
      </c>
      <c r="F1078" s="31" t="n">
        <v>1</v>
      </c>
      <c r="G1078" s="31" t="n">
        <v>8</v>
      </c>
      <c r="H1078" s="31" t="n"/>
      <c r="I1078" s="31" t="n"/>
      <c r="J1078" s="31" t="n">
        <v>0</v>
      </c>
      <c r="K1078" s="31" t="n">
        <v>0</v>
      </c>
      <c r="L1078" s="31" t="n">
        <v>0</v>
      </c>
      <c r="M1078" s="31" t="n">
        <v>0</v>
      </c>
      <c r="N1078" s="21" t="inlineStr"/>
      <c r="O1078" s="21" t="n">
        <v>1</v>
      </c>
      <c r="P1078" s="21" t="inlineStr">
        <is>
          <t>NO</t>
        </is>
      </c>
      <c r="Q1078" s="21" t="inlineStr">
        <is>
          <t>Standard</t>
        </is>
      </c>
      <c r="R1078" s="40" t="n">
        <v>500</v>
      </c>
      <c r="S1078" s="21" t="inlineStr">
        <is>
          <t>CP:R 348</t>
        </is>
      </c>
      <c r="T1078" s="21" t="inlineStr">
        <is>
          <t>An Exotic Very Heavy Pistol. Instead of dealing damage, on a hit it forces the target to try to beat a DV15 Cybertech Check. If they fail, the GM chooses two pieces of their cyberware or carried electronics to become ino</t>
        </is>
      </c>
    </row>
    <row r="1079">
      <c r="A1079" s="21" t="inlineStr">
        <is>
          <t>Militech “Big Boomer”</t>
        </is>
      </c>
      <c r="B1079" s="21" t="inlineStr">
        <is>
          <t>Огнестрельное оружие</t>
        </is>
      </c>
      <c r="C1079" s="21" t="inlineStr">
        <is>
          <t>Very Heavy Pistol</t>
        </is>
      </c>
      <c r="D1079" s="21" t="inlineStr">
        <is>
          <t>Handgun</t>
        </is>
      </c>
      <c r="E1079" s="21" t="inlineStr">
        <is>
          <t>4d6</t>
        </is>
      </c>
      <c r="F1079" s="31" t="n">
        <v>1</v>
      </c>
      <c r="G1079" s="31" t="n">
        <v>28</v>
      </c>
      <c r="H1079" s="31" t="n"/>
      <c r="I1079" s="31" t="n"/>
      <c r="J1079" s="31" t="n">
        <v>0</v>
      </c>
      <c r="K1079" s="31" t="n">
        <v>0</v>
      </c>
      <c r="L1079" s="31" t="n">
        <v>0</v>
      </c>
      <c r="M1079" s="31" t="n">
        <v>0</v>
      </c>
      <c r="N1079" s="21" t="inlineStr"/>
      <c r="O1079" s="21" t="n">
        <v>1</v>
      </c>
      <c r="P1079" s="21" t="inlineStr">
        <is>
          <t>NO</t>
        </is>
      </c>
      <c r="Q1079" s="21" t="inlineStr">
        <is>
          <t>Excellent</t>
        </is>
      </c>
      <c r="R1079" s="40" t="n">
        <v>1100</v>
      </c>
      <c r="S1079" s="21" t="inlineStr">
        <is>
          <t>IR5 123</t>
        </is>
      </c>
      <c r="T1079" s="21" t="inlineStr">
        <is>
          <t>A friend to those with immediate problems they must solve at close range, the “Big Boomer” is a remake of a 4th Corporate War era service weapon with a new short barrel. Its design was guided by a customer survey sent ou</t>
        </is>
      </c>
    </row>
    <row r="1080">
      <c r="A1080" s="21" t="inlineStr">
        <is>
          <t>Militech Boomer Buster</t>
        </is>
      </c>
      <c r="B1080" s="21" t="inlineStr">
        <is>
          <t>Огнестрельное оружие</t>
        </is>
      </c>
      <c r="C1080" s="21" t="inlineStr">
        <is>
          <t>Very Heavy Pistol</t>
        </is>
      </c>
      <c r="D1080" s="21" t="inlineStr">
        <is>
          <t>Handgun</t>
        </is>
      </c>
      <c r="E1080" s="21" t="inlineStr">
        <is>
          <t>4d6</t>
        </is>
      </c>
      <c r="F1080" s="31" t="n">
        <v>1</v>
      </c>
      <c r="G1080" s="31" t="n">
        <v>8</v>
      </c>
      <c r="H1080" s="31" t="n"/>
      <c r="I1080" s="31" t="n"/>
      <c r="J1080" s="31" t="n">
        <v>0</v>
      </c>
      <c r="K1080" s="31" t="n">
        <v>0</v>
      </c>
      <c r="L1080" s="31" t="n">
        <v>0</v>
      </c>
      <c r="M1080" s="31" t="n">
        <v>0</v>
      </c>
      <c r="N1080" s="21" t="inlineStr"/>
      <c r="O1080" s="21" t="n">
        <v>1</v>
      </c>
      <c r="P1080" s="21" t="inlineStr">
        <is>
          <t>NO</t>
        </is>
      </c>
      <c r="Q1080" s="21" t="inlineStr">
        <is>
          <t>Excellent</t>
        </is>
      </c>
      <c r="R1080" s="40" t="n">
        <v>500</v>
      </c>
      <c r="S1080" s="21" t="inlineStr">
        <is>
          <t>CP:R 342 · DL:TT 5 · IR5 39</t>
        </is>
      </c>
      <c r="T1080" s="21" t="inlineStr">
        <is>
          <t>Customer feedback told Militech their .477 Boomer Buster was a hit with Solos looking for a high-quality sidearm. The only complaint was how often the gun needed to be reloaded. With that in mind, Militech engineers rewo</t>
        </is>
      </c>
    </row>
    <row r="1081">
      <c r="A1081" s="21" t="inlineStr">
        <is>
          <t>Militech Crusher (204X)</t>
        </is>
      </c>
      <c r="B1081" s="21" t="inlineStr">
        <is>
          <t>Огнестрельное оружие</t>
        </is>
      </c>
      <c r="C1081" s="21" t="inlineStr">
        <is>
          <t>Very Heavy Pistol</t>
        </is>
      </c>
      <c r="D1081" s="21" t="inlineStr">
        <is>
          <t>Handgun</t>
        </is>
      </c>
      <c r="E1081" s="21" t="inlineStr">
        <is>
          <t>3d6</t>
        </is>
      </c>
      <c r="F1081" s="31" t="n">
        <v>1</v>
      </c>
      <c r="G1081" s="31" t="n">
        <v>6</v>
      </c>
      <c r="H1081" s="31" t="n"/>
      <c r="I1081" s="31" t="n"/>
      <c r="J1081" s="31" t="n">
        <v>0</v>
      </c>
      <c r="K1081" s="31" t="n">
        <v>0</v>
      </c>
      <c r="L1081" s="31" t="n">
        <v>0</v>
      </c>
      <c r="M1081" s="31" t="n">
        <v>0</v>
      </c>
      <c r="N1081" s="21" t="inlineStr"/>
      <c r="O1081" s="21" t="n">
        <v>1</v>
      </c>
      <c r="P1081" s="21" t="inlineStr">
        <is>
          <t>NO</t>
        </is>
      </c>
      <c r="Q1081" s="21" t="inlineStr">
        <is>
          <t>Standard</t>
        </is>
      </c>
      <c r="R1081" s="40" t="n">
        <v>500</v>
      </c>
      <c r="S1081" s="21" t="inlineStr">
        <is>
          <t>DL:12Gun 4 · DGD 144</t>
        </is>
      </c>
      <c r="T1081" s="21" t="inlineStr">
        <is>
          <t>The Militech Crusher is an Exotic Very Heavy Pistol with a 6-shot capacity that fires only Shotgun Shell Ammunition.</t>
        </is>
      </c>
    </row>
    <row r="1082">
      <c r="A1082" s="21" t="inlineStr">
        <is>
          <t>Militech Crusher (207X)</t>
        </is>
      </c>
      <c r="B1082" s="21" t="inlineStr">
        <is>
          <t>Огнестрельное оружие</t>
        </is>
      </c>
      <c r="C1082" s="21" t="inlineStr">
        <is>
          <t>Very Heavy Pistol</t>
        </is>
      </c>
      <c r="D1082" s="21" t="inlineStr">
        <is>
          <t>Handgun</t>
        </is>
      </c>
      <c r="E1082" s="21" t="inlineStr">
        <is>
          <t>3d6</t>
        </is>
      </c>
      <c r="F1082" s="31" t="n">
        <v>1</v>
      </c>
      <c r="G1082" s="31" t="n">
        <v>12</v>
      </c>
      <c r="H1082" s="31" t="n"/>
      <c r="I1082" s="31" t="n"/>
      <c r="J1082" s="31" t="n">
        <v>0</v>
      </c>
      <c r="K1082" s="31" t="n">
        <v>0</v>
      </c>
      <c r="L1082" s="31" t="n">
        <v>0</v>
      </c>
      <c r="M1082" s="31" t="n">
        <v>0</v>
      </c>
      <c r="N1082" s="21" t="inlineStr"/>
      <c r="O1082" s="21" t="n">
        <v>1</v>
      </c>
      <c r="P1082" s="21" t="inlineStr">
        <is>
          <t>NO</t>
        </is>
      </c>
      <c r="Q1082" s="21" t="inlineStr">
        <is>
          <t>Standard</t>
        </is>
      </c>
      <c r="R1082" s="40" t="n">
        <v>1000</v>
      </c>
      <c r="S1082" s="21" t="inlineStr">
        <is>
          <t>CEMK 32</t>
        </is>
      </c>
      <c r="T1082" s="21" t="inlineStr">
        <is>
          <t>The very sight of the Militech Crusher is enough to bring a tear to any gun lover’s eye. This powerful shotgun, designed for short-range combat, was first created in the year 2020 and soon became one of the period’s most</t>
        </is>
      </c>
    </row>
    <row r="1083">
      <c r="A1083" s="21" t="inlineStr">
        <is>
          <t>Militech Perseus</t>
        </is>
      </c>
      <c r="B1083" s="21" t="inlineStr">
        <is>
          <t>Огнестрельное оружие</t>
        </is>
      </c>
      <c r="C1083" s="21" t="inlineStr">
        <is>
          <t>Very Heavy Pistol</t>
        </is>
      </c>
      <c r="D1083" s="21" t="inlineStr">
        <is>
          <t>Handgun</t>
        </is>
      </c>
      <c r="E1083" s="21" t="inlineStr">
        <is>
          <t>4d6</t>
        </is>
      </c>
      <c r="F1083" s="31" t="inlineStr">
        <is>
          <t>1 / 2</t>
        </is>
      </c>
      <c r="G1083" s="31" t="n">
        <v>11</v>
      </c>
      <c r="H1083" s="31" t="n"/>
      <c r="I1083" s="31" t="n"/>
      <c r="J1083" s="31" t="n">
        <v>0</v>
      </c>
      <c r="K1083" s="31" t="n">
        <v>0</v>
      </c>
      <c r="L1083" s="31" t="n">
        <v>0</v>
      </c>
      <c r="M1083" s="31" t="n">
        <v>0</v>
      </c>
      <c r="N1083" s="21" t="inlineStr"/>
      <c r="O1083" s="21" t="n">
        <v>1</v>
      </c>
      <c r="P1083" s="21" t="inlineStr">
        <is>
          <t>NO</t>
        </is>
      </c>
      <c r="Q1083" s="21" t="inlineStr">
        <is>
          <t>Excellent</t>
        </is>
      </c>
      <c r="R1083" s="40" t="n">
        <v>5000</v>
      </c>
      <c r="S1083" s="21" t="inlineStr">
        <is>
          <t>BC 112</t>
        </is>
      </c>
      <c r="T1083" s="21" t="inlineStr">
        <is>
          <t>Militech designed the Perseus with the rise of cyberpsychosis in mind. Not to mention the occasional need to shoot through an engine block. The weapon is an eleven-shot revolver with a forearm brace and ample venting por</t>
        </is>
      </c>
    </row>
    <row r="1084">
      <c r="A1084" s="21" t="inlineStr">
        <is>
          <t>Nat’s Long-Barreled Pistol</t>
        </is>
      </c>
      <c r="B1084" s="21" t="inlineStr">
        <is>
          <t>Огнестрельное оружие</t>
        </is>
      </c>
      <c r="C1084" s="21" t="inlineStr">
        <is>
          <t>Very Heavy Pistol</t>
        </is>
      </c>
      <c r="D1084" s="21" t="inlineStr">
        <is>
          <t>Handgun</t>
        </is>
      </c>
      <c r="E1084" s="21" t="inlineStr">
        <is>
          <t>4d6</t>
        </is>
      </c>
      <c r="F1084" s="31" t="n">
        <v>1</v>
      </c>
      <c r="G1084" s="31" t="n">
        <v>8</v>
      </c>
      <c r="H1084" s="31" t="n"/>
      <c r="I1084" s="31" t="n"/>
      <c r="J1084" s="31" t="n">
        <v>0</v>
      </c>
      <c r="K1084" s="31" t="n">
        <v>0</v>
      </c>
      <c r="L1084" s="31" t="n">
        <v>0</v>
      </c>
      <c r="M1084" s="31" t="n">
        <v>0</v>
      </c>
      <c r="N1084" s="21" t="inlineStr"/>
      <c r="O1084" s="21" t="n">
        <v>1</v>
      </c>
      <c r="P1084" s="21" t="inlineStr">
        <is>
          <t>NO</t>
        </is>
      </c>
      <c r="Q1084" s="21" t="inlineStr">
        <is>
          <t>Excellent</t>
        </is>
      </c>
      <c r="R1084" s="40" t="n">
        <v>500</v>
      </c>
      <c r="S1084" s="21" t="inlineStr">
        <is>
          <t>DL:12RED 3 · IR5 99</t>
        </is>
      </c>
      <c r="T1084" s="21" t="inlineStr">
        <is>
          <t>S.A.N.T.A. didn’t liberate this design from a Corporate database. Instead, he obtained it as a gift from a nomad who owed him a favor. Enjoy this long-barreled take on a classic handgun. An Excellent Quality Very Heavy P</t>
        </is>
      </c>
    </row>
    <row r="1085">
      <c r="A1085" s="21" t="inlineStr">
        <is>
          <t>Nomad Big Gulp</t>
        </is>
      </c>
      <c r="B1085" s="21" t="inlineStr">
        <is>
          <t>Огнестрельное оружие</t>
        </is>
      </c>
      <c r="C1085" s="21" t="inlineStr">
        <is>
          <t>Very Heavy Pistol</t>
        </is>
      </c>
      <c r="D1085" s="21" t="inlineStr">
        <is>
          <t>Handgun</t>
        </is>
      </c>
      <c r="E1085" s="21" t="inlineStr">
        <is>
          <t>4d6</t>
        </is>
      </c>
      <c r="F1085" s="31" t="n">
        <v>1</v>
      </c>
      <c r="G1085" s="31" t="n">
        <v>2</v>
      </c>
      <c r="H1085" s="31" t="n"/>
      <c r="I1085" s="31" t="n"/>
      <c r="J1085" s="31" t="n">
        <v>0</v>
      </c>
      <c r="K1085" s="31" t="n">
        <v>0</v>
      </c>
      <c r="L1085" s="31" t="n">
        <v>0</v>
      </c>
      <c r="M1085" s="31" t="n">
        <v>0</v>
      </c>
      <c r="N1085" s="21" t="inlineStr"/>
      <c r="O1085" s="21" t="n">
        <v>1</v>
      </c>
      <c r="P1085" s="21" t="inlineStr">
        <is>
          <t>NO</t>
        </is>
      </c>
      <c r="Q1085" s="21" t="inlineStr">
        <is>
          <t>Excellent</t>
        </is>
      </c>
      <c r="R1085" s="40" t="n">
        <v>100</v>
      </c>
      <c r="S1085" s="21" t="inlineStr">
        <is>
          <t>DL:TT 5 · IR5 39</t>
        </is>
      </c>
      <c r="T1085" s="21" t="inlineStr">
        <is>
          <t>Double-barreled. Fits in your truck’s cup holder and sits low in your holster. What more can you ask for? Not much more than you’re gonna get. Because they are manufactured by a plethora of weaponsmiths across the variou</t>
        </is>
      </c>
    </row>
    <row r="1086">
      <c r="A1086" s="21" t="inlineStr">
        <is>
          <t>Nomad Rocker</t>
        </is>
      </c>
      <c r="B1086" s="21" t="inlineStr">
        <is>
          <t>Огнестрельное оружие</t>
        </is>
      </c>
      <c r="C1086" s="21" t="inlineStr">
        <is>
          <t>Very Heavy Pistol</t>
        </is>
      </c>
      <c r="D1086" s="21" t="inlineStr">
        <is>
          <t>Handgun</t>
        </is>
      </c>
      <c r="E1086" s="21" t="inlineStr">
        <is>
          <t>4d6</t>
        </is>
      </c>
      <c r="F1086" s="31" t="n">
        <v>1</v>
      </c>
      <c r="G1086" s="31" t="n">
        <v>8</v>
      </c>
      <c r="H1086" s="31" t="n"/>
      <c r="I1086" s="31" t="n"/>
      <c r="J1086" s="31" t="n">
        <v>0</v>
      </c>
      <c r="K1086" s="31" t="n">
        <v>0</v>
      </c>
      <c r="L1086" s="31" t="n">
        <v>0</v>
      </c>
      <c r="M1086" s="31" t="n">
        <v>0</v>
      </c>
      <c r="N1086" s="21" t="inlineStr"/>
      <c r="O1086" s="21" t="n">
        <v>1</v>
      </c>
      <c r="P1086" s="21" t="inlineStr">
        <is>
          <t>NO</t>
        </is>
      </c>
      <c r="Q1086" s="21" t="inlineStr">
        <is>
          <t>Poor</t>
        </is>
      </c>
      <c r="R1086" s="40" t="n">
        <v>100</v>
      </c>
      <c r="S1086" s="21" t="inlineStr">
        <is>
          <t>BC 115</t>
        </is>
      </c>
      <c r="T1086" s="21" t="inlineStr">
        <is>
          <t>The Nomad Rocker is a modified air pistol that fires small rocks. Made from the same material as seen in those popular metal dishware commercials, the Nomad Rocker looks like an ancient ship’s cannon fit for your hand, i</t>
        </is>
      </c>
    </row>
    <row r="1087">
      <c r="A1087" s="21" t="inlineStr">
        <is>
          <t>Pursuit Security Bouncer (Огнестрельное оружие)</t>
        </is>
      </c>
      <c r="B1087" s="21" t="inlineStr">
        <is>
          <t>Огнестрельное оружие</t>
        </is>
      </c>
      <c r="C1087" s="21" t="inlineStr">
        <is>
          <t>Very Heavy Pistol</t>
        </is>
      </c>
      <c r="D1087" s="21" t="inlineStr">
        <is>
          <t>Handgun</t>
        </is>
      </c>
      <c r="E1087" s="21" t="inlineStr">
        <is>
          <t>0.0</t>
        </is>
      </c>
      <c r="F1087" s="31" t="n">
        <v>1</v>
      </c>
      <c r="G1087" s="31" t="n">
        <v>8</v>
      </c>
      <c r="H1087" s="31" t="n"/>
      <c r="I1087" s="31" t="n"/>
      <c r="J1087" s="31" t="n">
        <v>0</v>
      </c>
      <c r="K1087" s="31" t="n">
        <v>0</v>
      </c>
      <c r="L1087" s="31" t="n">
        <v>0</v>
      </c>
      <c r="M1087" s="31" t="n">
        <v>0</v>
      </c>
      <c r="N1087" s="21" t="inlineStr"/>
      <c r="O1087" s="21" t="n">
        <v>1</v>
      </c>
      <c r="P1087" s="21" t="inlineStr">
        <is>
          <t>NO</t>
        </is>
      </c>
      <c r="Q1087" s="21" t="inlineStr">
        <is>
          <t>Standard</t>
        </is>
      </c>
      <c r="R1087" s="40" t="n">
        <v>500</v>
      </c>
      <c r="S1087" s="21" t="inlineStr">
        <is>
          <t>BC 97</t>
        </is>
      </c>
      <c r="T1087" s="21" t="inlineStr">
        <is>
          <t xml:space="preserve">A combination microwaver and stun baton in a fingerless glove-shaped housing, the Bouncer is common among club security and hotel door attendants. To zap a target, the user simply smacks them with the easily retractable </t>
        </is>
      </c>
    </row>
    <row r="1088">
      <c r="A1088" s="21" t="inlineStr">
        <is>
          <t>Sanroo Hello Cutie Ultra-K8</t>
        </is>
      </c>
      <c r="B1088" s="21" t="inlineStr">
        <is>
          <t>Огнестрельное оружие</t>
        </is>
      </c>
      <c r="C1088" s="21" t="inlineStr">
        <is>
          <t>Very Heavy Pistol</t>
        </is>
      </c>
      <c r="D1088" s="21" t="inlineStr">
        <is>
          <t>Handgun</t>
        </is>
      </c>
      <c r="E1088" s="21" t="inlineStr">
        <is>
          <t>4d6</t>
        </is>
      </c>
      <c r="F1088" s="31" t="n">
        <v>1</v>
      </c>
      <c r="G1088" s="31" t="n">
        <v>30</v>
      </c>
      <c r="H1088" s="31" t="n"/>
      <c r="I1088" s="31" t="n"/>
      <c r="J1088" s="31" t="n">
        <v>0</v>
      </c>
      <c r="K1088" s="31" t="n">
        <v>0</v>
      </c>
      <c r="L1088" s="31" t="n">
        <v>0</v>
      </c>
      <c r="M1088" s="31" t="n">
        <v>0</v>
      </c>
      <c r="N1088" s="21" t="inlineStr"/>
      <c r="O1088" s="21" t="n">
        <v>1</v>
      </c>
      <c r="P1088" s="21" t="inlineStr">
        <is>
          <t>NO</t>
        </is>
      </c>
      <c r="Q1088" s="21" t="inlineStr">
        <is>
          <t>Excellent</t>
        </is>
      </c>
      <c r="R1088" s="40" t="n">
        <v>5000</v>
      </c>
      <c r="S1088" s="21" t="inlineStr">
        <is>
          <t>BC 118</t>
        </is>
      </c>
      <c r="T1088" s="21" t="inlineStr">
        <is>
          <t>Don’t let the pink frame fool you. The Hello Cutie Ultra-K8 assault pistol by Sanroo Firearms of Tokyo is a terrifying little machine pistol. This pistol was marketed toward cosplay gangs popping up across Tokyo and soon</t>
        </is>
      </c>
    </row>
    <row r="1089">
      <c r="A1089" s="21" t="inlineStr">
        <is>
          <t>Shrieker</t>
        </is>
      </c>
      <c r="B1089" s="21" t="inlineStr">
        <is>
          <t>Огнестрельное оружие</t>
        </is>
      </c>
      <c r="C1089" s="21" t="inlineStr">
        <is>
          <t>Very Heavy Pistol</t>
        </is>
      </c>
      <c r="D1089" s="21" t="inlineStr">
        <is>
          <t>Handgun</t>
        </is>
      </c>
      <c r="E1089" s="21" t="inlineStr">
        <is>
          <t>0.0</t>
        </is>
      </c>
      <c r="F1089" s="31" t="n">
        <v>1</v>
      </c>
      <c r="G1089" s="31" t="n">
        <v>8</v>
      </c>
      <c r="H1089" s="31" t="n"/>
      <c r="I1089" s="31" t="n"/>
      <c r="J1089" s="31" t="n">
        <v>0</v>
      </c>
      <c r="K1089" s="31" t="n">
        <v>0</v>
      </c>
      <c r="L1089" s="31" t="n">
        <v>0</v>
      </c>
      <c r="M1089" s="31" t="n">
        <v>0</v>
      </c>
      <c r="N1089" s="21" t="inlineStr"/>
      <c r="O1089" s="21" t="n">
        <v>1</v>
      </c>
      <c r="P1089" s="21" t="inlineStr">
        <is>
          <t>NO</t>
        </is>
      </c>
      <c r="Q1089" s="21" t="inlineStr">
        <is>
          <t>Standard</t>
        </is>
      </c>
      <c r="R1089" s="40" t="n">
        <v>500</v>
      </c>
      <c r="S1089" s="21" t="inlineStr">
        <is>
          <t>CP:R 349</t>
        </is>
      </c>
      <c r="T1089" s="21" t="inlineStr">
        <is>
          <t>An Exotic Very Heavy Pistol. Whenever a user fires this weapon without some form of ear protection, they suffer the Damaged Ear Critical Injury. Instead of dealing damage, on a hit it forces the target to try to beat a D</t>
        </is>
      </c>
    </row>
    <row r="1090">
      <c r="A1090" s="21" t="inlineStr">
        <is>
          <t>Sternmeyer P-35</t>
        </is>
      </c>
      <c r="B1090" s="21" t="inlineStr">
        <is>
          <t>Огнестрельное оружие</t>
        </is>
      </c>
      <c r="C1090" s="21" t="inlineStr">
        <is>
          <t>Very Heavy Pistol</t>
        </is>
      </c>
      <c r="D1090" s="21" t="inlineStr">
        <is>
          <t>Handgun</t>
        </is>
      </c>
      <c r="E1090" s="21" t="inlineStr">
        <is>
          <t>4d6</t>
        </is>
      </c>
      <c r="F1090" s="31" t="n">
        <v>1</v>
      </c>
      <c r="G1090" s="31" t="n">
        <v>8</v>
      </c>
      <c r="H1090" s="31" t="n"/>
      <c r="I1090" s="31" t="n"/>
      <c r="J1090" s="31" t="n">
        <v>0</v>
      </c>
      <c r="K1090" s="31" t="n">
        <v>0</v>
      </c>
      <c r="L1090" s="31" t="n">
        <v>0</v>
      </c>
      <c r="M1090" s="31" t="n">
        <v>0</v>
      </c>
      <c r="N1090" s="21" t="inlineStr"/>
      <c r="O1090" s="21" t="n">
        <v>1</v>
      </c>
      <c r="P1090" s="21" t="inlineStr">
        <is>
          <t>NO</t>
        </is>
      </c>
      <c r="Q1090" s="21" t="inlineStr">
        <is>
          <t>Standard</t>
        </is>
      </c>
      <c r="R1090" s="40" t="n">
        <v>100</v>
      </c>
      <c r="S1090" s="21" t="inlineStr">
        <is>
          <t>CP:R 342 · DL:TT 6 · IR5 40</t>
        </is>
      </c>
      <c r="T1090" s="21" t="inlineStr">
        <is>
          <t>Rugged and reliable, with excellent stopping power. Quality German engineering makes this a standard sidearm in European militaries. A Standard Quality Very Heavy Pistol.</t>
        </is>
      </c>
    </row>
    <row r="1091">
      <c r="A1091" s="21" t="inlineStr">
        <is>
          <t>Sternmeyer P-35 Covert</t>
        </is>
      </c>
      <c r="B1091" s="21" t="inlineStr">
        <is>
          <t>Огнестрельное оружие</t>
        </is>
      </c>
      <c r="C1091" s="21" t="inlineStr">
        <is>
          <t>Very Heavy Pistol</t>
        </is>
      </c>
      <c r="D1091" s="21" t="inlineStr">
        <is>
          <t>Handgun</t>
        </is>
      </c>
      <c r="E1091" s="21" t="inlineStr">
        <is>
          <t>4d6</t>
        </is>
      </c>
      <c r="F1091" s="31" t="n">
        <v>1</v>
      </c>
      <c r="G1091" s="31" t="n">
        <v>8</v>
      </c>
      <c r="H1091" s="31" t="n"/>
      <c r="I1091" s="31" t="n"/>
      <c r="J1091" s="31" t="n">
        <v>0</v>
      </c>
      <c r="K1091" s="31" t="n">
        <v>0</v>
      </c>
      <c r="L1091" s="31" t="n">
        <v>0</v>
      </c>
      <c r="M1091" s="31" t="n">
        <v>0</v>
      </c>
      <c r="N1091" s="21" t="inlineStr"/>
      <c r="O1091" s="21" t="n">
        <v>1</v>
      </c>
      <c r="P1091" s="21" t="inlineStr">
        <is>
          <t>NO</t>
        </is>
      </c>
      <c r="Q1091" s="21" t="inlineStr">
        <is>
          <t>Standard</t>
        </is>
      </c>
      <c r="R1091" s="40" t="n">
        <v>200</v>
      </c>
      <c r="S1091" s="21" t="inlineStr">
        <is>
          <t>DL:TT 6 · IR5 40</t>
        </is>
      </c>
      <c r="T1091" s="21" t="inlineStr">
        <is>
          <t>The same reliability and stopping power as the standard P-35 but with added stealth capabilities. The P-35 Covert is the weapon of choice for discrete eurosolos. A Standard Quality Very Heavy Pistol. It comes equipped wi</t>
        </is>
      </c>
    </row>
    <row r="1092">
      <c r="A1092" s="21" t="inlineStr">
        <is>
          <t>Superchrome© Sidearm</t>
        </is>
      </c>
      <c r="B1092" s="21" t="inlineStr">
        <is>
          <t>Огнестрельное оружие</t>
        </is>
      </c>
      <c r="C1092" s="21" t="inlineStr">
        <is>
          <t>Very Heavy Pistol</t>
        </is>
      </c>
      <c r="D1092" s="21" t="inlineStr">
        <is>
          <t>Handgun</t>
        </is>
      </c>
      <c r="E1092" s="21" t="inlineStr">
        <is>
          <t>4d6</t>
        </is>
      </c>
      <c r="F1092" s="31" t="n">
        <v>1</v>
      </c>
      <c r="G1092" s="31" t="n">
        <v>8</v>
      </c>
      <c r="H1092" s="31" t="n"/>
      <c r="I1092" s="31" t="n"/>
      <c r="J1092" s="31" t="n">
        <v>0</v>
      </c>
      <c r="K1092" s="31" t="n">
        <v>0</v>
      </c>
      <c r="L1092" s="31" t="n">
        <v>0</v>
      </c>
      <c r="M1092" s="31" t="n">
        <v>0</v>
      </c>
      <c r="N1092" s="21" t="inlineStr"/>
      <c r="O1092" s="21" t="n">
        <v>1</v>
      </c>
      <c r="P1092" s="21" t="inlineStr">
        <is>
          <t>NO</t>
        </is>
      </c>
      <c r="Q1092" s="21" t="inlineStr">
        <is>
          <t>Standard</t>
        </is>
      </c>
      <c r="R1092" s="40" t="n">
        <v>1000</v>
      </c>
      <c r="S1092" s="21" t="inlineStr">
        <is>
          <t>BC 121</t>
        </is>
      </c>
      <c r="T1092" s="21" t="inlineStr">
        <is>
          <t>The sidearm of choice for the truly chromed! Designed by Centurion Essentials, this Superchrome® covered handgun is just as at home on the runway as it is on The Street, where looking dangerous is the same as being dange</t>
        </is>
      </c>
    </row>
    <row r="1093">
      <c r="A1093" s="21" t="inlineStr">
        <is>
          <t>Techtronika RT-46 Burya</t>
        </is>
      </c>
      <c r="B1093" s="21" t="inlineStr">
        <is>
          <t>Огнестрельное оружие</t>
        </is>
      </c>
      <c r="C1093" s="21" t="inlineStr">
        <is>
          <t>Very Heavy Pistol</t>
        </is>
      </c>
      <c r="D1093" s="21" t="inlineStr">
        <is>
          <t>Handgun</t>
        </is>
      </c>
      <c r="E1093" s="21" t="inlineStr">
        <is>
          <t>4d6</t>
        </is>
      </c>
      <c r="F1093" s="31" t="n">
        <v>1</v>
      </c>
      <c r="G1093" s="31" t="n">
        <v>4</v>
      </c>
      <c r="H1093" s="31" t="n"/>
      <c r="I1093" s="31" t="n"/>
      <c r="J1093" s="31" t="n">
        <v>0</v>
      </c>
      <c r="K1093" s="31" t="n">
        <v>0</v>
      </c>
      <c r="L1093" s="31" t="n">
        <v>0</v>
      </c>
      <c r="M1093" s="31" t="n">
        <v>0</v>
      </c>
      <c r="N1093" s="21" t="inlineStr"/>
      <c r="O1093" s="21" t="n">
        <v>1</v>
      </c>
      <c r="P1093" s="21" t="inlineStr">
        <is>
          <t>NO</t>
        </is>
      </c>
      <c r="Q1093" s="21" t="inlineStr">
        <is>
          <t>Standard</t>
        </is>
      </c>
      <c r="R1093" s="40" t="n">
        <v>1000</v>
      </c>
      <c r="S1093" s="21" t="inlineStr">
        <is>
          <t>CEMK 33</t>
        </is>
      </c>
      <c r="T1093" s="21" t="inlineStr">
        <is>
          <t>The Burya is ugly, inconvenient, and unsafe, yet is so fucking effective. This NeoSoviet electromagnetic pistol doesn’t need to be Charged to blast through walls and is practically as dense as a neutron star. To pull its</t>
        </is>
      </c>
    </row>
  </sheetData>
  <autoFilter ref="A2:T1093"/>
  <mergeCells count="1">
    <mergeCell ref="A1:T1"/>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0F6E7C"/>
    <outlinePr summaryBelow="1" summaryRight="1"/>
    <pageSetUpPr fitToPage="1"/>
  </sheetPr>
  <dimension ref="B1:N151"/>
  <sheetViews>
    <sheetView showGridLines="0" workbookViewId="0">
      <selection activeCell="A1" sqref="A1"/>
    </sheetView>
  </sheetViews>
  <sheetFormatPr baseColWidth="8" defaultRowHeight="15"/>
  <cols>
    <col width="2"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40" customWidth="1" min="14" max="14"/>
    <col width="2" customWidth="1" min="15" max="15"/>
  </cols>
  <sheetData>
    <row r="1" ht="20" customHeight="1">
      <c r="B1" s="1" t="inlineStr">
        <is>
          <t>СПРАВКА  ▚  DV · ДИСТАНЦИИ · УКРЫТИЯ · РАНЫ · IP · ЖИЗНЬ · 2070</t>
        </is>
      </c>
    </row>
    <row r="3">
      <c r="B3" s="17" t="inlineStr">
        <is>
          <t>Ⅰ · СЛОЖНОСТЬ ПРОВЕРОК (DV)  ·  CP:R СТР. 129</t>
        </is>
      </c>
    </row>
    <row r="4">
      <c r="B4" s="20" t="inlineStr">
        <is>
          <t>СЛОЖНОСТЬ</t>
        </is>
      </c>
      <c r="C4" s="20" t="inlineStr">
        <is>
          <t>DV</t>
        </is>
      </c>
      <c r="D4" s="20" t="inlineStr">
        <is>
          <t>КОГДА БРОСАТЬ</t>
        </is>
      </c>
    </row>
    <row r="5" ht="18" customHeight="1">
      <c r="B5" s="21" t="inlineStr">
        <is>
          <t>Simple</t>
        </is>
      </c>
      <c r="C5" s="30" t="n">
        <v>9</v>
      </c>
      <c r="D5" s="21" t="inlineStr">
        <is>
          <t>Плюнуть в урну, вспомнить вчерашний разговор, обычная бытовая задача.</t>
        </is>
      </c>
      <c r="E5" s="18" t="n"/>
      <c r="F5" s="18" t="n"/>
      <c r="G5" s="18" t="n"/>
      <c r="H5" s="18" t="n"/>
      <c r="I5" s="18" t="n"/>
      <c r="J5" s="18" t="n"/>
      <c r="K5" s="18" t="n"/>
      <c r="L5" s="18" t="n"/>
      <c r="M5" s="18" t="n"/>
      <c r="N5" s="19" t="n"/>
    </row>
    <row r="6" ht="18" customHeight="1">
      <c r="B6" s="21" t="inlineStr">
        <is>
          <t>Everyday</t>
        </is>
      </c>
      <c r="C6" s="30" t="n">
        <v>13</v>
      </c>
      <c r="D6" s="21" t="inlineStr">
        <is>
          <t>Рутинная работа: дешёвый замок, слух на улице, починить провод.</t>
        </is>
      </c>
      <c r="E6" s="18" t="n"/>
      <c r="F6" s="18" t="n"/>
      <c r="G6" s="18" t="n"/>
      <c r="H6" s="18" t="n"/>
      <c r="I6" s="18" t="n"/>
      <c r="J6" s="18" t="n"/>
      <c r="K6" s="18" t="n"/>
      <c r="L6" s="18" t="n"/>
      <c r="M6" s="18" t="n"/>
      <c r="N6" s="19" t="n"/>
    </row>
    <row r="7" ht="18" customHeight="1">
      <c r="B7" s="21" t="inlineStr">
        <is>
          <t>Difficult</t>
        </is>
      </c>
      <c r="C7" s="30" t="n">
        <v>15</v>
      </c>
      <c r="D7" s="21" t="inlineStr">
        <is>
          <t>Профессиональная задача: слежка, серьёзный ремонт, взлом двери.</t>
        </is>
      </c>
      <c r="E7" s="18" t="n"/>
      <c r="F7" s="18" t="n"/>
      <c r="G7" s="18" t="n"/>
      <c r="H7" s="18" t="n"/>
      <c r="I7" s="18" t="n"/>
      <c r="J7" s="18" t="n"/>
      <c r="K7" s="18" t="n"/>
      <c r="L7" s="18" t="n"/>
      <c r="M7" s="18" t="n"/>
      <c r="N7" s="19" t="n"/>
    </row>
    <row r="8" ht="18" customHeight="1">
      <c r="B8" s="21" t="inlineStr">
        <is>
          <t>Professional</t>
        </is>
      </c>
      <c r="C8" s="30" t="n">
        <v>17</v>
      </c>
      <c r="D8" s="21" t="inlineStr">
        <is>
          <t>Работа специалиста: сложный ремонт, полевая хирургия, взлом системы.</t>
        </is>
      </c>
      <c r="E8" s="18" t="n"/>
      <c r="F8" s="18" t="n"/>
      <c r="G8" s="18" t="n"/>
      <c r="H8" s="18" t="n"/>
      <c r="I8" s="18" t="n"/>
      <c r="J8" s="18" t="n"/>
      <c r="K8" s="18" t="n"/>
      <c r="L8" s="18" t="n"/>
      <c r="M8" s="18" t="n"/>
      <c r="N8" s="19" t="n"/>
    </row>
    <row r="9" ht="18" customHeight="1">
      <c r="B9" s="21" t="inlineStr">
        <is>
          <t>Heroic</t>
        </is>
      </c>
      <c r="C9" s="30" t="n">
        <v>21</v>
      </c>
      <c r="D9" s="21" t="inlineStr">
        <is>
          <t>На грани человеческого: выжить в падении, обыграть профи в его деле.</t>
        </is>
      </c>
      <c r="E9" s="18" t="n"/>
      <c r="F9" s="18" t="n"/>
      <c r="G9" s="18" t="n"/>
      <c r="H9" s="18" t="n"/>
      <c r="I9" s="18" t="n"/>
      <c r="J9" s="18" t="n"/>
      <c r="K9" s="18" t="n"/>
      <c r="L9" s="18" t="n"/>
      <c r="M9" s="18" t="n"/>
      <c r="N9" s="19" t="n"/>
    </row>
    <row r="10" ht="18" customHeight="1">
      <c r="B10" s="21" t="inlineStr">
        <is>
          <t>Incredible</t>
        </is>
      </c>
      <c r="C10" s="30" t="n">
        <v>24</v>
      </c>
      <c r="D10" s="21" t="inlineStr">
        <is>
          <t>Легендарно: то, о чём будут рассказывать в барах.</t>
        </is>
      </c>
      <c r="E10" s="18" t="n"/>
      <c r="F10" s="18" t="n"/>
      <c r="G10" s="18" t="n"/>
      <c r="H10" s="18" t="n"/>
      <c r="I10" s="18" t="n"/>
      <c r="J10" s="18" t="n"/>
      <c r="K10" s="18" t="n"/>
      <c r="L10" s="18" t="n"/>
      <c r="M10" s="18" t="n"/>
      <c r="N10" s="19" t="n"/>
    </row>
    <row r="11" ht="18" customHeight="1">
      <c r="B11" s="21" t="inlineStr">
        <is>
          <t>Legendary</t>
        </is>
      </c>
      <c r="C11" s="30" t="n">
        <v>29</v>
      </c>
      <c r="D11" s="21" t="inlineStr">
        <is>
          <t>Почти невозможно ни для кого.</t>
        </is>
      </c>
      <c r="E11" s="18" t="n"/>
      <c r="F11" s="18" t="n"/>
      <c r="G11" s="18" t="n"/>
      <c r="H11" s="18" t="n"/>
      <c r="I11" s="18" t="n"/>
      <c r="J11" s="18" t="n"/>
      <c r="K11" s="18" t="n"/>
      <c r="L11" s="18" t="n"/>
      <c r="M11" s="18" t="n"/>
      <c r="N11" s="19" t="n"/>
    </row>
    <row r="13">
      <c r="B13" s="17" t="inlineStr">
        <is>
          <t>Ⅱ · ДИСТАНЦИЯ: DV ПО ТИПУ ОРУЖИЯ  ·  CP:R СТР. 172–173</t>
        </is>
      </c>
    </row>
    <row r="14">
      <c r="B14" s="20" t="inlineStr">
        <is>
          <t>Weapon Type</t>
        </is>
      </c>
      <c r="C14" s="20" t="inlineStr">
        <is>
          <t>0-6</t>
        </is>
      </c>
      <c r="D14" s="20" t="inlineStr">
        <is>
          <t>7-12</t>
        </is>
      </c>
      <c r="E14" s="20" t="inlineStr">
        <is>
          <t>13-25</t>
        </is>
      </c>
      <c r="F14" s="20" t="inlineStr">
        <is>
          <t>26-50</t>
        </is>
      </c>
      <c r="G14" s="20" t="inlineStr">
        <is>
          <t>51-100</t>
        </is>
      </c>
      <c r="H14" s="20" t="inlineStr">
        <is>
          <t>101-200</t>
        </is>
      </c>
      <c r="I14" s="20" t="inlineStr">
        <is>
          <t>201-400</t>
        </is>
      </c>
      <c r="J14" s="20" t="inlineStr">
        <is>
          <t>401-800</t>
        </is>
      </c>
    </row>
    <row r="15" ht="16" customHeight="1">
      <c r="B15" s="21" t="inlineStr">
        <is>
          <t>Snubnose Pistol</t>
        </is>
      </c>
      <c r="C15" s="31" t="inlineStr">
        <is>
          <t>12</t>
        </is>
      </c>
      <c r="D15" s="31" t="inlineStr">
        <is>
          <t>14</t>
        </is>
      </c>
      <c r="E15" s="31" t="inlineStr">
        <is>
          <t>20</t>
        </is>
      </c>
      <c r="F15" s="31" t="inlineStr">
        <is>
          <t>26</t>
        </is>
      </c>
      <c r="G15" s="31" t="inlineStr">
        <is>
          <t>35</t>
        </is>
      </c>
      <c r="H15" s="31" t="inlineStr">
        <is>
          <t>—</t>
        </is>
      </c>
      <c r="I15" s="31" t="inlineStr">
        <is>
          <t>—</t>
        </is>
      </c>
      <c r="J15" s="31" t="inlineStr">
        <is>
          <t>—</t>
        </is>
      </c>
    </row>
    <row r="16" ht="16" customHeight="1">
      <c r="B16" s="21" t="inlineStr">
        <is>
          <t>Pistol</t>
        </is>
      </c>
      <c r="C16" s="31" t="inlineStr">
        <is>
          <t>13</t>
        </is>
      </c>
      <c r="D16" s="31" t="inlineStr">
        <is>
          <t>15</t>
        </is>
      </c>
      <c r="E16" s="31" t="inlineStr">
        <is>
          <t>20</t>
        </is>
      </c>
      <c r="F16" s="31" t="inlineStr">
        <is>
          <t>25</t>
        </is>
      </c>
      <c r="G16" s="31" t="inlineStr">
        <is>
          <t>30</t>
        </is>
      </c>
      <c r="H16" s="31" t="inlineStr">
        <is>
          <t>35</t>
        </is>
      </c>
      <c r="I16" s="31" t="inlineStr">
        <is>
          <t>—</t>
        </is>
      </c>
      <c r="J16" s="31" t="inlineStr">
        <is>
          <t>—</t>
        </is>
      </c>
    </row>
    <row r="17" ht="16" customHeight="1">
      <c r="B17" s="21" t="inlineStr">
        <is>
          <t>Long Barrel Pistol</t>
        </is>
      </c>
      <c r="C17" s="31" t="inlineStr">
        <is>
          <t>15</t>
        </is>
      </c>
      <c r="D17" s="31" t="inlineStr">
        <is>
          <t>13</t>
        </is>
      </c>
      <c r="E17" s="31" t="inlineStr">
        <is>
          <t>14</t>
        </is>
      </c>
      <c r="F17" s="31" t="inlineStr">
        <is>
          <t>19</t>
        </is>
      </c>
      <c r="G17" s="31" t="inlineStr">
        <is>
          <t>20</t>
        </is>
      </c>
      <c r="H17" s="31" t="inlineStr">
        <is>
          <t>22</t>
        </is>
      </c>
      <c r="I17" s="31" t="inlineStr">
        <is>
          <t>30</t>
        </is>
      </c>
      <c r="J17" s="31" t="inlineStr">
        <is>
          <t>—</t>
        </is>
      </c>
    </row>
    <row r="18" ht="16" customHeight="1">
      <c r="B18" s="21" t="inlineStr">
        <is>
          <t>Subcompact SMG</t>
        </is>
      </c>
      <c r="C18" s="31" t="inlineStr">
        <is>
          <t>13</t>
        </is>
      </c>
      <c r="D18" s="31" t="inlineStr">
        <is>
          <t>13</t>
        </is>
      </c>
      <c r="E18" s="31" t="inlineStr">
        <is>
          <t>14</t>
        </is>
      </c>
      <c r="F18" s="31" t="inlineStr">
        <is>
          <t>21</t>
        </is>
      </c>
      <c r="G18" s="31" t="inlineStr">
        <is>
          <t>27</t>
        </is>
      </c>
      <c r="H18" s="31" t="inlineStr">
        <is>
          <t>30</t>
        </is>
      </c>
      <c r="I18" s="31" t="inlineStr">
        <is>
          <t>—</t>
        </is>
      </c>
      <c r="J18" s="31" t="inlineStr">
        <is>
          <t>—</t>
        </is>
      </c>
    </row>
    <row r="19" ht="16" customHeight="1">
      <c r="B19" s="21" t="inlineStr">
        <is>
          <t>SMG</t>
        </is>
      </c>
      <c r="C19" s="31" t="inlineStr">
        <is>
          <t>15</t>
        </is>
      </c>
      <c r="D19" s="31" t="inlineStr">
        <is>
          <t>13</t>
        </is>
      </c>
      <c r="E19" s="31" t="inlineStr">
        <is>
          <t>15</t>
        </is>
      </c>
      <c r="F19" s="31" t="inlineStr">
        <is>
          <t>20</t>
        </is>
      </c>
      <c r="G19" s="31" t="inlineStr">
        <is>
          <t>25</t>
        </is>
      </c>
      <c r="H19" s="31" t="inlineStr">
        <is>
          <t>25</t>
        </is>
      </c>
      <c r="I19" s="31" t="inlineStr">
        <is>
          <t>30</t>
        </is>
      </c>
      <c r="J19" s="31" t="inlineStr">
        <is>
          <t>—</t>
        </is>
      </c>
    </row>
    <row r="20" ht="16" customHeight="1">
      <c r="B20" s="21" t="inlineStr">
        <is>
          <t>Short Barrel Shotgun</t>
        </is>
      </c>
      <c r="C20" s="31" t="inlineStr">
        <is>
          <t>12</t>
        </is>
      </c>
      <c r="D20" s="31" t="inlineStr">
        <is>
          <t>14</t>
        </is>
      </c>
      <c r="E20" s="31" t="inlineStr">
        <is>
          <t>23</t>
        </is>
      </c>
      <c r="F20" s="31" t="inlineStr">
        <is>
          <t>27</t>
        </is>
      </c>
      <c r="G20" s="31" t="inlineStr">
        <is>
          <t>32</t>
        </is>
      </c>
      <c r="H20" s="31" t="inlineStr">
        <is>
          <t>—</t>
        </is>
      </c>
      <c r="I20" s="31" t="inlineStr">
        <is>
          <t>—</t>
        </is>
      </c>
      <c r="J20" s="31" t="inlineStr">
        <is>
          <t>—</t>
        </is>
      </c>
    </row>
    <row r="21" ht="16" customHeight="1">
      <c r="B21" s="21" t="inlineStr">
        <is>
          <t>Shotgun</t>
        </is>
      </c>
      <c r="C21" s="31" t="inlineStr">
        <is>
          <t>13</t>
        </is>
      </c>
      <c r="D21" s="31" t="inlineStr">
        <is>
          <t>15</t>
        </is>
      </c>
      <c r="E21" s="31" t="inlineStr">
        <is>
          <t>20</t>
        </is>
      </c>
      <c r="F21" s="31" t="inlineStr">
        <is>
          <t>25</t>
        </is>
      </c>
      <c r="G21" s="31" t="inlineStr">
        <is>
          <t>30</t>
        </is>
      </c>
      <c r="H21" s="31" t="inlineStr">
        <is>
          <t>35</t>
        </is>
      </c>
      <c r="I21" s="31" t="inlineStr">
        <is>
          <t>—</t>
        </is>
      </c>
      <c r="J21" s="31" t="inlineStr">
        <is>
          <t>—</t>
        </is>
      </c>
    </row>
    <row r="22" ht="16" customHeight="1">
      <c r="B22" s="21" t="inlineStr">
        <is>
          <t>Long Barrel Shotgun</t>
        </is>
      </c>
      <c r="C22" s="31" t="inlineStr">
        <is>
          <t>14</t>
        </is>
      </c>
      <c r="D22" s="31" t="inlineStr">
        <is>
          <t>16</t>
        </is>
      </c>
      <c r="E22" s="31" t="inlineStr">
        <is>
          <t>15</t>
        </is>
      </c>
      <c r="F22" s="31" t="inlineStr">
        <is>
          <t>18</t>
        </is>
      </c>
      <c r="G22" s="31" t="inlineStr">
        <is>
          <t>25</t>
        </is>
      </c>
      <c r="H22" s="31" t="inlineStr">
        <is>
          <t>28</t>
        </is>
      </c>
      <c r="I22" s="31" t="inlineStr">
        <is>
          <t>—</t>
        </is>
      </c>
      <c r="J22" s="31" t="inlineStr">
        <is>
          <t>—</t>
        </is>
      </c>
    </row>
    <row r="23" ht="16" customHeight="1">
      <c r="B23" s="21" t="inlineStr">
        <is>
          <t>Carbine</t>
        </is>
      </c>
      <c r="C23" s="31" t="inlineStr">
        <is>
          <t>16</t>
        </is>
      </c>
      <c r="D23" s="31" t="inlineStr">
        <is>
          <t>15</t>
        </is>
      </c>
      <c r="E23" s="31" t="inlineStr">
        <is>
          <t>13</t>
        </is>
      </c>
      <c r="F23" s="31" t="inlineStr">
        <is>
          <t>15</t>
        </is>
      </c>
      <c r="G23" s="31" t="inlineStr">
        <is>
          <t>20</t>
        </is>
      </c>
      <c r="H23" s="31" t="inlineStr">
        <is>
          <t>25</t>
        </is>
      </c>
      <c r="I23" s="31" t="inlineStr">
        <is>
          <t>30</t>
        </is>
      </c>
      <c r="J23" s="31" t="inlineStr">
        <is>
          <t>—</t>
        </is>
      </c>
    </row>
    <row r="24" ht="16" customHeight="1">
      <c r="B24" s="21" t="inlineStr">
        <is>
          <t>Assault Rifle</t>
        </is>
      </c>
      <c r="C24" s="31" t="inlineStr">
        <is>
          <t>17</t>
        </is>
      </c>
      <c r="D24" s="31" t="inlineStr">
        <is>
          <t>16</t>
        </is>
      </c>
      <c r="E24" s="31" t="inlineStr">
        <is>
          <t>15</t>
        </is>
      </c>
      <c r="F24" s="31" t="inlineStr">
        <is>
          <t>13</t>
        </is>
      </c>
      <c r="G24" s="31" t="inlineStr">
        <is>
          <t>15</t>
        </is>
      </c>
      <c r="H24" s="31" t="inlineStr">
        <is>
          <t>20</t>
        </is>
      </c>
      <c r="I24" s="31" t="inlineStr">
        <is>
          <t>25</t>
        </is>
      </c>
      <c r="J24" s="31" t="inlineStr">
        <is>
          <t>30</t>
        </is>
      </c>
    </row>
    <row r="25" ht="16" customHeight="1">
      <c r="B25" s="21" t="inlineStr">
        <is>
          <t>Battle Rifle</t>
        </is>
      </c>
      <c r="C25" s="31" t="inlineStr">
        <is>
          <t>18</t>
        </is>
      </c>
      <c r="D25" s="31" t="inlineStr">
        <is>
          <t>16</t>
        </is>
      </c>
      <c r="E25" s="31" t="inlineStr">
        <is>
          <t>16</t>
        </is>
      </c>
      <c r="F25" s="31" t="inlineStr">
        <is>
          <t>14</t>
        </is>
      </c>
      <c r="G25" s="31" t="inlineStr">
        <is>
          <t>14</t>
        </is>
      </c>
      <c r="H25" s="31" t="inlineStr">
        <is>
          <t>19</t>
        </is>
      </c>
      <c r="I25" s="31" t="inlineStr">
        <is>
          <t>24</t>
        </is>
      </c>
      <c r="J25" s="31" t="inlineStr">
        <is>
          <t>29</t>
        </is>
      </c>
    </row>
    <row r="26" ht="16" customHeight="1">
      <c r="B26" s="21" t="inlineStr">
        <is>
          <t>Marksman Rifle</t>
        </is>
      </c>
      <c r="C26" s="31" t="inlineStr">
        <is>
          <t>20</t>
        </is>
      </c>
      <c r="D26" s="31" t="inlineStr">
        <is>
          <t>18</t>
        </is>
      </c>
      <c r="E26" s="31" t="inlineStr">
        <is>
          <t>17</t>
        </is>
      </c>
      <c r="F26" s="31" t="inlineStr">
        <is>
          <t>15</t>
        </is>
      </c>
      <c r="G26" s="31" t="inlineStr">
        <is>
          <t>14</t>
        </is>
      </c>
      <c r="H26" s="31" t="inlineStr">
        <is>
          <t>18</t>
        </is>
      </c>
      <c r="I26" s="31" t="inlineStr">
        <is>
          <t>21</t>
        </is>
      </c>
      <c r="J26" s="31" t="inlineStr">
        <is>
          <t>27</t>
        </is>
      </c>
    </row>
    <row r="27" ht="16" customHeight="1">
      <c r="B27" s="21" t="inlineStr">
        <is>
          <t>Scout Rifle</t>
        </is>
      </c>
      <c r="C27" s="31" t="inlineStr">
        <is>
          <t>21</t>
        </is>
      </c>
      <c r="D27" s="31" t="inlineStr">
        <is>
          <t>20</t>
        </is>
      </c>
      <c r="E27" s="31" t="inlineStr">
        <is>
          <t>19</t>
        </is>
      </c>
      <c r="F27" s="31" t="inlineStr">
        <is>
          <t>18</t>
        </is>
      </c>
      <c r="G27" s="31" t="inlineStr">
        <is>
          <t>17</t>
        </is>
      </c>
      <c r="H27" s="31" t="inlineStr">
        <is>
          <t>17</t>
        </is>
      </c>
      <c r="I27" s="31" t="inlineStr">
        <is>
          <t>19</t>
        </is>
      </c>
      <c r="J27" s="31" t="inlineStr">
        <is>
          <t>24</t>
        </is>
      </c>
    </row>
    <row r="28" ht="16" customHeight="1">
      <c r="B28" s="21" t="inlineStr">
        <is>
          <t>Sniper Rifle</t>
        </is>
      </c>
      <c r="C28" s="31" t="inlineStr">
        <is>
          <t>30</t>
        </is>
      </c>
      <c r="D28" s="31" t="inlineStr">
        <is>
          <t>25</t>
        </is>
      </c>
      <c r="E28" s="31" t="inlineStr">
        <is>
          <t>25</t>
        </is>
      </c>
      <c r="F28" s="31" t="inlineStr">
        <is>
          <t>20</t>
        </is>
      </c>
      <c r="G28" s="31" t="inlineStr">
        <is>
          <t>15</t>
        </is>
      </c>
      <c r="H28" s="31" t="inlineStr">
        <is>
          <t>16</t>
        </is>
      </c>
      <c r="I28" s="31" t="inlineStr">
        <is>
          <t>17</t>
        </is>
      </c>
      <c r="J28" s="31" t="inlineStr">
        <is>
          <t>20</t>
        </is>
      </c>
    </row>
    <row r="29" ht="16" customHeight="1">
      <c r="B29" s="21" t="inlineStr">
        <is>
          <t>Anti-materiel Rifle</t>
        </is>
      </c>
      <c r="C29" s="31" t="inlineStr">
        <is>
          <t>30</t>
        </is>
      </c>
      <c r="D29" s="31" t="inlineStr">
        <is>
          <t>30</t>
        </is>
      </c>
      <c r="E29" s="31" t="inlineStr">
        <is>
          <t>28</t>
        </is>
      </c>
      <c r="F29" s="31" t="inlineStr">
        <is>
          <t>22</t>
        </is>
      </c>
      <c r="G29" s="31" t="inlineStr">
        <is>
          <t>15</t>
        </is>
      </c>
      <c r="H29" s="31" t="inlineStr">
        <is>
          <t>15</t>
        </is>
      </c>
      <c r="I29" s="31" t="inlineStr">
        <is>
          <t>16</t>
        </is>
      </c>
      <c r="J29" s="31" t="inlineStr">
        <is>
          <t>17</t>
        </is>
      </c>
    </row>
    <row r="30" ht="16" customHeight="1">
      <c r="B30" s="21" t="inlineStr">
        <is>
          <t>Shortbow</t>
        </is>
      </c>
      <c r="C30" s="31" t="inlineStr">
        <is>
          <t>13</t>
        </is>
      </c>
      <c r="D30" s="31" t="inlineStr">
        <is>
          <t>14</t>
        </is>
      </c>
      <c r="E30" s="31" t="inlineStr">
        <is>
          <t>16</t>
        </is>
      </c>
      <c r="F30" s="31" t="inlineStr">
        <is>
          <t>21</t>
        </is>
      </c>
      <c r="G30" s="31" t="inlineStr">
        <is>
          <t>22</t>
        </is>
      </c>
      <c r="H30" s="31" t="inlineStr">
        <is>
          <t>—</t>
        </is>
      </c>
      <c r="I30" s="31" t="inlineStr">
        <is>
          <t>—</t>
        </is>
      </c>
      <c r="J30" s="31" t="inlineStr">
        <is>
          <t>—</t>
        </is>
      </c>
    </row>
    <row r="31" ht="16" customHeight="1">
      <c r="B31" s="21" t="inlineStr">
        <is>
          <t>Bow</t>
        </is>
      </c>
      <c r="C31" s="31" t="inlineStr">
        <is>
          <t>15</t>
        </is>
      </c>
      <c r="D31" s="31" t="inlineStr">
        <is>
          <t>13</t>
        </is>
      </c>
      <c r="E31" s="31" t="inlineStr">
        <is>
          <t>15</t>
        </is>
      </c>
      <c r="F31" s="31" t="inlineStr">
        <is>
          <t>17</t>
        </is>
      </c>
      <c r="G31" s="31" t="inlineStr">
        <is>
          <t>20</t>
        </is>
      </c>
      <c r="H31" s="31" t="inlineStr">
        <is>
          <t>22</t>
        </is>
      </c>
      <c r="I31" s="31" t="inlineStr">
        <is>
          <t>—</t>
        </is>
      </c>
      <c r="J31" s="31" t="inlineStr">
        <is>
          <t>—</t>
        </is>
      </c>
    </row>
    <row r="32" ht="16" customHeight="1">
      <c r="B32" s="21" t="inlineStr">
        <is>
          <t>Longbow</t>
        </is>
      </c>
      <c r="C32" s="31" t="inlineStr">
        <is>
          <t>17</t>
        </is>
      </c>
      <c r="D32" s="31" t="inlineStr">
        <is>
          <t>15</t>
        </is>
      </c>
      <c r="E32" s="31" t="inlineStr">
        <is>
          <t>13</t>
        </is>
      </c>
      <c r="F32" s="31" t="inlineStr">
        <is>
          <t>15</t>
        </is>
      </c>
      <c r="G32" s="31" t="inlineStr">
        <is>
          <t>17</t>
        </is>
      </c>
      <c r="H32" s="31" t="inlineStr">
        <is>
          <t>20</t>
        </is>
      </c>
      <c r="I32" s="31" t="inlineStr">
        <is>
          <t>22</t>
        </is>
      </c>
      <c r="J32" s="31" t="inlineStr">
        <is>
          <t>—</t>
        </is>
      </c>
    </row>
    <row r="33" ht="16" customHeight="1">
      <c r="B33" s="21" t="inlineStr">
        <is>
          <t>Grenade Launcher</t>
        </is>
      </c>
      <c r="C33" s="31" t="inlineStr">
        <is>
          <t>16</t>
        </is>
      </c>
      <c r="D33" s="31" t="inlineStr">
        <is>
          <t>15</t>
        </is>
      </c>
      <c r="E33" s="31" t="inlineStr">
        <is>
          <t>15</t>
        </is>
      </c>
      <c r="F33" s="31" t="inlineStr">
        <is>
          <t>17</t>
        </is>
      </c>
      <c r="G33" s="31" t="inlineStr">
        <is>
          <t>20</t>
        </is>
      </c>
      <c r="H33" s="31" t="inlineStr">
        <is>
          <t>22</t>
        </is>
      </c>
      <c r="I33" s="31" t="inlineStr">
        <is>
          <t>25</t>
        </is>
      </c>
      <c r="J33" s="31" t="inlineStr">
        <is>
          <t>—</t>
        </is>
      </c>
    </row>
    <row r="34" ht="16" customHeight="1">
      <c r="B34" s="21" t="inlineStr">
        <is>
          <t>Rocket Launcher</t>
        </is>
      </c>
      <c r="C34" s="31" t="inlineStr">
        <is>
          <t>17</t>
        </is>
      </c>
      <c r="D34" s="31" t="inlineStr">
        <is>
          <t>16</t>
        </is>
      </c>
      <c r="E34" s="31" t="inlineStr">
        <is>
          <t>15</t>
        </is>
      </c>
      <c r="F34" s="31" t="inlineStr">
        <is>
          <t>15</t>
        </is>
      </c>
      <c r="G34" s="31" t="inlineStr">
        <is>
          <t>20</t>
        </is>
      </c>
      <c r="H34" s="31" t="inlineStr">
        <is>
          <t>20</t>
        </is>
      </c>
      <c r="I34" s="31" t="inlineStr">
        <is>
          <t>25</t>
        </is>
      </c>
      <c r="J34" s="31" t="inlineStr">
        <is>
          <t>30</t>
        </is>
      </c>
    </row>
    <row r="35" ht="16" customHeight="1">
      <c r="B35" s="21" t="inlineStr">
        <is>
          <t>Missile Launcher</t>
        </is>
      </c>
      <c r="C35" s="31" t="inlineStr">
        <is>
          <t>30</t>
        </is>
      </c>
      <c r="D35" s="31" t="inlineStr">
        <is>
          <t>25</t>
        </is>
      </c>
      <c r="E35" s="31" t="inlineStr">
        <is>
          <t>25</t>
        </is>
      </c>
      <c r="F35" s="31" t="inlineStr">
        <is>
          <t>20</t>
        </is>
      </c>
      <c r="G35" s="31" t="inlineStr">
        <is>
          <t>17</t>
        </is>
      </c>
      <c r="H35" s="31" t="inlineStr">
        <is>
          <t>20</t>
        </is>
      </c>
      <c r="I35" s="31" t="inlineStr">
        <is>
          <t>20</t>
        </is>
      </c>
      <c r="J35" s="31" t="inlineStr">
        <is>
          <t>20</t>
        </is>
      </c>
    </row>
    <row r="37">
      <c r="B37" s="17" t="inlineStr">
        <is>
          <t>Ⅲ · АВТООГОНЬ  ·  ДЕЙСТВИЕ + 10 ПАТРОНОВ + НАВЫК AUTOFIRE</t>
        </is>
      </c>
    </row>
    <row r="38">
      <c r="B38" s="20" t="inlineStr">
        <is>
          <t>Weapon Type</t>
        </is>
      </c>
      <c r="C38" s="20" t="inlineStr">
        <is>
          <t>0-6</t>
        </is>
      </c>
      <c r="D38" s="20" t="inlineStr">
        <is>
          <t>7-12</t>
        </is>
      </c>
      <c r="E38" s="20" t="inlineStr">
        <is>
          <t>13-25</t>
        </is>
      </c>
      <c r="F38" s="20" t="inlineStr">
        <is>
          <t>26-50</t>
        </is>
      </c>
      <c r="G38" s="20" t="inlineStr">
        <is>
          <t>51-100</t>
        </is>
      </c>
      <c r="H38" s="20" t="inlineStr">
        <is>
          <t>МАКС. МНОЖИТЕЛЬ</t>
        </is>
      </c>
    </row>
    <row r="39">
      <c r="B39" s="21" t="inlineStr">
        <is>
          <t>Machine Pistol</t>
        </is>
      </c>
      <c r="C39" s="31" t="inlineStr">
        <is>
          <t>17</t>
        </is>
      </c>
      <c r="D39" s="31" t="inlineStr">
        <is>
          <t>20</t>
        </is>
      </c>
      <c r="E39" s="31" t="inlineStr">
        <is>
          <t>22</t>
        </is>
      </c>
      <c r="F39" s="31" t="inlineStr">
        <is>
          <t>27</t>
        </is>
      </c>
      <c r="G39" s="31" t="inlineStr">
        <is>
          <t>30</t>
        </is>
      </c>
      <c r="H39" s="31" t="inlineStr">
        <is>
          <t>×3</t>
        </is>
      </c>
    </row>
    <row r="40">
      <c r="B40" s="21" t="inlineStr">
        <is>
          <t>SMGs</t>
        </is>
      </c>
      <c r="C40" s="31" t="inlineStr">
        <is>
          <t>20</t>
        </is>
      </c>
      <c r="D40" s="31" t="inlineStr">
        <is>
          <t>17</t>
        </is>
      </c>
      <c r="E40" s="31" t="inlineStr">
        <is>
          <t>20</t>
        </is>
      </c>
      <c r="F40" s="31" t="inlineStr">
        <is>
          <t>25</t>
        </is>
      </c>
      <c r="G40" s="31" t="inlineStr">
        <is>
          <t>30</t>
        </is>
      </c>
      <c r="H40" s="31" t="inlineStr">
        <is>
          <t>×3</t>
        </is>
      </c>
    </row>
    <row r="41">
      <c r="B41" s="21" t="inlineStr">
        <is>
          <t>Assault Rifle</t>
        </is>
      </c>
      <c r="C41" s="31" t="inlineStr">
        <is>
          <t>22</t>
        </is>
      </c>
      <c r="D41" s="31" t="inlineStr">
        <is>
          <t>20</t>
        </is>
      </c>
      <c r="E41" s="31" t="inlineStr">
        <is>
          <t>17</t>
        </is>
      </c>
      <c r="F41" s="31" t="inlineStr">
        <is>
          <t>20</t>
        </is>
      </c>
      <c r="G41" s="31" t="inlineStr">
        <is>
          <t>25</t>
        </is>
      </c>
      <c r="H41" s="31" t="inlineStr">
        <is>
          <t>×4</t>
        </is>
      </c>
    </row>
    <row r="42">
      <c r="B42" s="21" t="inlineStr">
        <is>
          <t>Machine Gun</t>
        </is>
      </c>
      <c r="C42" s="31" t="inlineStr">
        <is>
          <t>21</t>
        </is>
      </c>
      <c r="D42" s="31" t="inlineStr">
        <is>
          <t>18</t>
        </is>
      </c>
      <c r="E42" s="31" t="inlineStr">
        <is>
          <t>18</t>
        </is>
      </c>
      <c r="F42" s="31" t="inlineStr">
        <is>
          <t>19</t>
        </is>
      </c>
      <c r="G42" s="31" t="inlineStr">
        <is>
          <t>25</t>
        </is>
      </c>
      <c r="H42" s="31" t="inlineStr">
        <is>
          <t>×4</t>
        </is>
      </c>
    </row>
    <row r="43" ht="30" customHeight="1">
      <c r="B43" s="6" t="inlineStr">
        <is>
          <t>Урон = 2d6 × (насколько ты превысил DV), но не больше множителя оружия. Две «6» — ещё и крит-травма. Броня гасит урон как обычно. Цели с REF 8+ могут уклоняться. Прицельный выстрел не совместим с автоогнём.</t>
        </is>
      </c>
    </row>
    <row r="45">
      <c r="B45" s="17" t="inlineStr">
        <is>
          <t>Ⅳ · ПРИЦЕЛЬНЫЕ ВЫСТРЕЛЫ, УКРЫТИЯ, ПОДАВЛЕНИЕ</t>
        </is>
      </c>
    </row>
    <row r="46">
      <c r="B46" s="20" t="inlineStr">
        <is>
          <t>СИТУАЦИЯ</t>
        </is>
      </c>
      <c r="C46" s="20" t="inlineStr">
        <is>
          <t>МОДИФ.</t>
        </is>
      </c>
      <c r="D46" s="20" t="inlineStr">
        <is>
          <t>ЧТО ПРОИСХОДИТ</t>
        </is>
      </c>
    </row>
    <row r="47" ht="18" customHeight="1">
      <c r="B47" s="21" t="inlineStr">
        <is>
          <t>Прицельный выстрел (ROF 1, всё действие)</t>
        </is>
      </c>
      <c r="C47" s="31" t="inlineStr">
        <is>
          <t>−8</t>
        </is>
      </c>
      <c r="D47" s="21" t="inlineStr">
        <is>
          <t>Только одна атака. Попадание — эффект по выбранной локации.</t>
        </is>
      </c>
      <c r="E47" s="18" t="n"/>
      <c r="F47" s="18" t="n"/>
      <c r="G47" s="18" t="n"/>
      <c r="H47" s="18" t="n"/>
      <c r="I47" s="18" t="n"/>
      <c r="J47" s="18" t="n"/>
      <c r="K47" s="18" t="n"/>
      <c r="L47" s="18" t="n"/>
      <c r="M47" s="18" t="n"/>
      <c r="N47" s="19" t="n"/>
    </row>
    <row r="48" ht="18" customHeight="1">
      <c r="B48" s="21" t="inlineStr">
        <is>
          <t>…в голову</t>
        </is>
      </c>
      <c r="C48" s="31" t="inlineStr">
        <is>
          <t>×2 урона</t>
        </is>
      </c>
      <c r="D48" s="21" t="inlineStr">
        <is>
          <t>Прошедший через броню урон умножается на 2 (при «треснувшем черепе» — на 3).</t>
        </is>
      </c>
      <c r="E48" s="18" t="n"/>
      <c r="F48" s="18" t="n"/>
      <c r="G48" s="18" t="n"/>
      <c r="H48" s="18" t="n"/>
      <c r="I48" s="18" t="n"/>
      <c r="J48" s="18" t="n"/>
      <c r="K48" s="18" t="n"/>
      <c r="L48" s="18" t="n"/>
      <c r="M48" s="18" t="n"/>
      <c r="N48" s="19" t="n"/>
    </row>
    <row r="49" ht="18" customHeight="1">
      <c r="B49" s="21" t="inlineStr">
        <is>
          <t>…в предмет в руках</t>
        </is>
      </c>
      <c r="C49" s="31" t="inlineStr">
        <is>
          <t>роняет</t>
        </is>
      </c>
      <c r="D49" s="21" t="inlineStr">
        <is>
          <t>Если прошёл хотя бы 1 урон — цель роняет выбранный предмет.</t>
        </is>
      </c>
      <c r="E49" s="18" t="n"/>
      <c r="F49" s="18" t="n"/>
      <c r="G49" s="18" t="n"/>
      <c r="H49" s="18" t="n"/>
      <c r="I49" s="18" t="n"/>
      <c r="J49" s="18" t="n"/>
      <c r="K49" s="18" t="n"/>
      <c r="L49" s="18" t="n"/>
      <c r="M49" s="18" t="n"/>
      <c r="N49" s="19" t="n"/>
    </row>
    <row r="50" ht="18" customHeight="1">
      <c r="B50" s="21" t="inlineStr">
        <is>
          <t>…в ногу</t>
        </is>
      </c>
      <c r="C50" s="31" t="inlineStr">
        <is>
          <t>Broken Leg</t>
        </is>
      </c>
      <c r="D50" s="21" t="inlineStr">
        <is>
          <t>Если прошёл хотя бы 1 урон — крит-травма «Broken Leg» (если есть целые ноги).</t>
        </is>
      </c>
      <c r="E50" s="18" t="n"/>
      <c r="F50" s="18" t="n"/>
      <c r="G50" s="18" t="n"/>
      <c r="H50" s="18" t="n"/>
      <c r="I50" s="18" t="n"/>
      <c r="J50" s="18" t="n"/>
      <c r="K50" s="18" t="n"/>
      <c r="L50" s="18" t="n"/>
      <c r="M50" s="18" t="n"/>
      <c r="N50" s="19" t="n"/>
    </row>
    <row r="51" ht="18" customHeight="1">
      <c r="B51" s="21" t="inlineStr">
        <is>
          <t>Огонь на подавление</t>
        </is>
      </c>
      <c r="C51" s="31" t="inlineStr">
        <is>
          <t>WILL+Concentration</t>
        </is>
      </c>
      <c r="D51" s="21" t="inlineStr">
        <is>
          <t>Действие + 10 пуль. Провал — цель обязана уйти за укрытие (иначе Run).</t>
        </is>
      </c>
      <c r="E51" s="18" t="n"/>
      <c r="F51" s="18" t="n"/>
      <c r="G51" s="18" t="n"/>
      <c r="H51" s="18" t="n"/>
      <c r="I51" s="18" t="n"/>
      <c r="J51" s="18" t="n"/>
      <c r="K51" s="18" t="n"/>
      <c r="L51" s="18" t="n"/>
      <c r="M51" s="18" t="n"/>
      <c r="N51" s="19" t="n"/>
    </row>
    <row r="52" ht="18" customHeight="1">
      <c r="B52" s="21" t="inlineStr">
        <is>
          <t>Картечь (Shells)</t>
        </is>
      </c>
      <c r="C52" s="31" t="inlineStr">
        <is>
          <t>DV13</t>
        </is>
      </c>
      <c r="D52" s="21" t="inlineStr">
        <is>
          <t>Все видимые цели в квадрате 6×6 м получают 3d6 (один бросок урона на всех).</t>
        </is>
      </c>
      <c r="E52" s="18" t="n"/>
      <c r="F52" s="18" t="n"/>
      <c r="G52" s="18" t="n"/>
      <c r="H52" s="18" t="n"/>
      <c r="I52" s="18" t="n"/>
      <c r="J52" s="18" t="n"/>
      <c r="K52" s="18" t="n"/>
      <c r="L52" s="18" t="n"/>
      <c r="M52" s="18" t="n"/>
      <c r="N52" s="19" t="n"/>
    </row>
    <row r="53" ht="18" customHeight="1">
      <c r="B53" s="21" t="inlineStr">
        <is>
          <t>Взрывчатка</t>
        </is>
      </c>
      <c r="C53" s="31" t="inlineStr">
        <is>
          <t>10×10 м</t>
        </is>
      </c>
      <c r="D53" s="21" t="inlineStr">
        <is>
          <t>Один бросок урона на всех в квадрате. Волна не бьёт за укрытием, если оно выдержало.</t>
        </is>
      </c>
      <c r="E53" s="18" t="n"/>
      <c r="F53" s="18" t="n"/>
      <c r="G53" s="18" t="n"/>
      <c r="H53" s="18" t="n"/>
      <c r="I53" s="18" t="n"/>
      <c r="J53" s="18" t="n"/>
      <c r="K53" s="18" t="n"/>
      <c r="L53" s="18" t="n"/>
      <c r="M53" s="18" t="n"/>
      <c r="N53" s="19" t="n"/>
    </row>
    <row r="54">
      <c r="B54" s="20" t="inlineStr">
        <is>
          <t>МАТЕРИАЛ УКРЫТИЯ</t>
        </is>
      </c>
      <c r="C54" s="20" t="inlineStr">
        <is>
          <t>ТОНКОЕ</t>
        </is>
      </c>
      <c r="D54" s="20" t="inlineStr">
        <is>
          <t>ТОЛСТОЕ</t>
        </is>
      </c>
      <c r="E54" s="20" t="inlineStr">
        <is>
          <t>ПРИМЕРЫ / КАК ЧИТАТЬ</t>
        </is>
      </c>
    </row>
    <row r="55" ht="18" customHeight="1">
      <c r="B55" s="21" t="inlineStr">
        <is>
          <t>Сталь</t>
        </is>
      </c>
      <c r="C55" s="31" t="inlineStr">
        <is>
          <t>25 HP</t>
        </is>
      </c>
      <c r="D55" s="31" t="inlineStr">
        <is>
          <t>50 HP</t>
        </is>
      </c>
      <c r="E55" s="21" t="inlineStr">
        <is>
          <t>Дверь машины, грузовой контейнер (тонкий).</t>
        </is>
      </c>
      <c r="F55" s="18" t="n"/>
      <c r="G55" s="18" t="n"/>
      <c r="H55" s="18" t="n"/>
      <c r="I55" s="18" t="n"/>
      <c r="J55" s="18" t="n"/>
      <c r="K55" s="18" t="n"/>
      <c r="L55" s="18" t="n"/>
      <c r="M55" s="18" t="n"/>
      <c r="N55" s="19" t="n"/>
    </row>
    <row r="56" ht="18" customHeight="1">
      <c r="B56" s="21" t="inlineStr">
        <is>
          <t>Камень</t>
        </is>
      </c>
      <c r="C56" s="31" t="inlineStr">
        <is>
          <t>20 HP</t>
        </is>
      </c>
      <c r="D56" s="31" t="inlineStr">
        <is>
          <t>40 HP</t>
        </is>
      </c>
      <c r="E56" s="21" t="inlineStr">
        <is>
          <t>Кирпичная кладка, бетонная тумба.</t>
        </is>
      </c>
      <c r="F56" s="18" t="n"/>
      <c r="G56" s="18" t="n"/>
      <c r="H56" s="18" t="n"/>
      <c r="I56" s="18" t="n"/>
      <c r="J56" s="18" t="n"/>
      <c r="K56" s="18" t="n"/>
      <c r="L56" s="18" t="n"/>
      <c r="M56" s="18" t="n"/>
      <c r="N56" s="19" t="n"/>
    </row>
    <row r="57" ht="18" customHeight="1">
      <c r="B57" s="21" t="inlineStr">
        <is>
          <t>Пуленепробиваемое стекло</t>
        </is>
      </c>
      <c r="C57" s="31" t="inlineStr">
        <is>
          <t>15 HP</t>
        </is>
      </c>
      <c r="D57" s="31" t="inlineStr">
        <is>
          <t>30 HP</t>
        </is>
      </c>
      <c r="E57" s="21" t="inlineStr">
        <is>
          <t>Витрина банка, бронированное окно.</t>
        </is>
      </c>
      <c r="F57" s="18" t="n"/>
      <c r="G57" s="18" t="n"/>
      <c r="H57" s="18" t="n"/>
      <c r="I57" s="18" t="n"/>
      <c r="J57" s="18" t="n"/>
      <c r="K57" s="18" t="n"/>
      <c r="L57" s="18" t="n"/>
      <c r="M57" s="18" t="n"/>
      <c r="N57" s="19" t="n"/>
    </row>
    <row r="58" ht="18" customHeight="1">
      <c r="B58" s="21" t="inlineStr">
        <is>
          <t>Бетон</t>
        </is>
      </c>
      <c r="C58" s="31" t="inlineStr">
        <is>
          <t>10 HP</t>
        </is>
      </c>
      <c r="D58" s="31" t="inlineStr">
        <is>
          <t>25 HP</t>
        </is>
      </c>
      <c r="E58" s="21" t="inlineStr">
        <is>
          <t>Уличный парапет, стена подъезда.</t>
        </is>
      </c>
      <c r="F58" s="18" t="n"/>
      <c r="G58" s="18" t="n"/>
      <c r="H58" s="18" t="n"/>
      <c r="I58" s="18" t="n"/>
      <c r="J58" s="18" t="n"/>
      <c r="K58" s="18" t="n"/>
      <c r="L58" s="18" t="n"/>
      <c r="M58" s="18" t="n"/>
      <c r="N58" s="19" t="n"/>
    </row>
    <row r="59" ht="18" customHeight="1">
      <c r="B59" s="21" t="inlineStr">
        <is>
          <t>Дерево</t>
        </is>
      </c>
      <c r="C59" s="31" t="inlineStr">
        <is>
          <t>5 HP</t>
        </is>
      </c>
      <c r="D59" s="31" t="inlineStr">
        <is>
          <t>20 HP</t>
        </is>
      </c>
      <c r="E59" s="21" t="inlineStr">
        <is>
          <t>Перевёрнутый стол (тонкое), барная стойка (толстое).</t>
        </is>
      </c>
      <c r="F59" s="18" t="n"/>
      <c r="G59" s="18" t="n"/>
      <c r="H59" s="18" t="n"/>
      <c r="I59" s="18" t="n"/>
      <c r="J59" s="18" t="n"/>
      <c r="K59" s="18" t="n"/>
      <c r="L59" s="18" t="n"/>
      <c r="M59" s="18" t="n"/>
      <c r="N59" s="19" t="n"/>
    </row>
    <row r="60" ht="18" customHeight="1">
      <c r="B60" s="21" t="inlineStr">
        <is>
          <t>Гипс / пена / пластик</t>
        </is>
      </c>
      <c r="C60" s="31" t="inlineStr">
        <is>
          <t>0 HP (не укрытие)</t>
        </is>
      </c>
      <c r="D60" s="31" t="inlineStr">
        <is>
          <t>15 HP</t>
        </is>
      </c>
      <c r="E60" s="21" t="inlineStr">
        <is>
          <t>Офисная перегородка.</t>
        </is>
      </c>
      <c r="F60" s="18" t="n"/>
      <c r="G60" s="18" t="n"/>
      <c r="H60" s="18" t="n"/>
      <c r="I60" s="18" t="n"/>
      <c r="J60" s="18" t="n"/>
      <c r="K60" s="18" t="n"/>
      <c r="L60" s="18" t="n"/>
      <c r="M60" s="18" t="n"/>
      <c r="N60" s="19" t="n"/>
    </row>
    <row r="61" ht="46" customHeight="1">
      <c r="B61" s="6" t="inlineStr">
        <is>
          <t>УКРЫТИЕ НЕ ДАЁТ ШТРАФА К АТАКЕ (ни в Corebook, ни в CEMK): правило бинарное — «ты в укрытии, только если полностью за тем, что может остановить пулю; если враг тебя видит, ты не в укрытии». Попадание уходит в укрытие: участок 2×2 м, у него есть HP (см. таблицу выше). Разрушенное укрытие обрушивается, избыточный урон за ним не идёт (кроме взрывчатки). ЩИТ — подвижное укрытие: пока у него есть HP, ты в укрытии, и весь урон атаки идёт в HP щита; но уклоняться с ним нельзя. Живой щит не защищает от выстрелов в голову и ближнего боя.</t>
        </is>
      </c>
    </row>
    <row r="63">
      <c r="B63" s="17" t="inlineStr">
        <is>
          <t>Ⅴ · ДЕЙСТВИЯ В ХОДЕ  ·  1 MOVE ACTION + 1 ДЕЙСТВИЕ</t>
        </is>
      </c>
    </row>
    <row r="64">
      <c r="B64" s="20" t="inlineStr">
        <is>
          <t>ДЕЙСТВИЕ</t>
        </is>
      </c>
      <c r="C64" s="20" t="inlineStr">
        <is>
          <t>ЧТО ДЕЛАЕТ</t>
        </is>
      </c>
    </row>
    <row r="65" ht="16" customHeight="1">
      <c r="B65" s="21" t="inlineStr">
        <is>
          <t>Move Action</t>
        </is>
      </c>
      <c r="C65" s="21" t="inlineStr">
        <is>
          <t>Переместиться на MOVE × 2 м (или на MOVE клеток).</t>
        </is>
      </c>
      <c r="D65" s="18" t="n"/>
      <c r="E65" s="18" t="n"/>
      <c r="F65" s="18" t="n"/>
      <c r="G65" s="18" t="n"/>
      <c r="H65" s="18" t="n"/>
      <c r="I65" s="18" t="n"/>
      <c r="J65" s="18" t="n"/>
      <c r="K65" s="18" t="n"/>
      <c r="L65" s="18" t="n"/>
      <c r="M65" s="18" t="n"/>
      <c r="N65" s="19" t="n"/>
    </row>
    <row r="66" ht="16" customHeight="1">
      <c r="B66" s="21" t="inlineStr">
        <is>
          <t>Attack</t>
        </is>
      </c>
      <c r="C66" s="21" t="inlineStr">
        <is>
          <t>Ближняя или дальняя атака.</t>
        </is>
      </c>
      <c r="D66" s="18" t="n"/>
      <c r="E66" s="18" t="n"/>
      <c r="F66" s="18" t="n"/>
      <c r="G66" s="18" t="n"/>
      <c r="H66" s="18" t="n"/>
      <c r="I66" s="18" t="n"/>
      <c r="J66" s="18" t="n"/>
      <c r="K66" s="18" t="n"/>
      <c r="L66" s="18" t="n"/>
      <c r="M66" s="18" t="n"/>
      <c r="N66" s="19" t="n"/>
    </row>
    <row r="67" ht="16" customHeight="1">
      <c r="B67" s="21" t="inlineStr">
        <is>
          <t>Choke</t>
        </is>
      </c>
      <c r="C67" s="21" t="inlineStr">
        <is>
          <t>Только против схваченного врага.</t>
        </is>
      </c>
      <c r="D67" s="18" t="n"/>
      <c r="E67" s="18" t="n"/>
      <c r="F67" s="18" t="n"/>
      <c r="G67" s="18" t="n"/>
      <c r="H67" s="18" t="n"/>
      <c r="I67" s="18" t="n"/>
      <c r="J67" s="18" t="n"/>
      <c r="K67" s="18" t="n"/>
      <c r="L67" s="18" t="n"/>
      <c r="M67" s="18" t="n"/>
      <c r="N67" s="19" t="n"/>
    </row>
    <row r="68" ht="16" customHeight="1">
      <c r="B68" s="21" t="inlineStr">
        <is>
          <t>Equip/Drop Shield</t>
        </is>
      </c>
      <c r="C68" s="21" t="inlineStr">
        <is>
          <t>Взять или бросить щит — Действие.</t>
        </is>
      </c>
      <c r="D68" s="18" t="n"/>
      <c r="E68" s="18" t="n"/>
      <c r="F68" s="18" t="n"/>
      <c r="G68" s="18" t="n"/>
      <c r="H68" s="18" t="n"/>
      <c r="I68" s="18" t="n"/>
      <c r="J68" s="18" t="n"/>
      <c r="K68" s="18" t="n"/>
      <c r="L68" s="18" t="n"/>
      <c r="M68" s="18" t="n"/>
      <c r="N68" s="19" t="n"/>
    </row>
    <row r="69" ht="16" customHeight="1">
      <c r="B69" s="21" t="inlineStr">
        <is>
          <t>Get into a Vehicle</t>
        </is>
      </c>
      <c r="C69" s="21" t="inlineStr">
        <is>
          <t>Сесть в транспорт.</t>
        </is>
      </c>
      <c r="D69" s="18" t="n"/>
      <c r="E69" s="18" t="n"/>
      <c r="F69" s="18" t="n"/>
      <c r="G69" s="18" t="n"/>
      <c r="H69" s="18" t="n"/>
      <c r="I69" s="18" t="n"/>
      <c r="J69" s="18" t="n"/>
      <c r="K69" s="18" t="n"/>
      <c r="L69" s="18" t="n"/>
      <c r="M69" s="18" t="n"/>
      <c r="N69" s="19" t="n"/>
    </row>
    <row r="70" ht="16" customHeight="1">
      <c r="B70" s="21" t="inlineStr">
        <is>
          <t>Get Up</t>
        </is>
      </c>
      <c r="C70" s="21" t="inlineStr">
        <is>
          <t>Подняться из Prone. Пока не встанешь — не двигаешься.</t>
        </is>
      </c>
      <c r="D70" s="18" t="n"/>
      <c r="E70" s="18" t="n"/>
      <c r="F70" s="18" t="n"/>
      <c r="G70" s="18" t="n"/>
      <c r="H70" s="18" t="n"/>
      <c r="I70" s="18" t="n"/>
      <c r="J70" s="18" t="n"/>
      <c r="K70" s="18" t="n"/>
      <c r="L70" s="18" t="n"/>
      <c r="M70" s="18" t="n"/>
      <c r="N70" s="19" t="n"/>
    </row>
    <row r="71" ht="16" customHeight="1">
      <c r="B71" s="21" t="inlineStr">
        <is>
          <t>Grab</t>
        </is>
      </c>
      <c r="C71" s="21" t="inlineStr">
        <is>
          <t>Схватить врага или предмет в его руках.</t>
        </is>
      </c>
      <c r="D71" s="18" t="n"/>
      <c r="E71" s="18" t="n"/>
      <c r="F71" s="18" t="n"/>
      <c r="G71" s="18" t="n"/>
      <c r="H71" s="18" t="n"/>
      <c r="I71" s="18" t="n"/>
      <c r="J71" s="18" t="n"/>
      <c r="K71" s="18" t="n"/>
      <c r="L71" s="18" t="n"/>
      <c r="M71" s="18" t="n"/>
      <c r="N71" s="19" t="n"/>
    </row>
    <row r="72" ht="16" customHeight="1">
      <c r="B72" s="21" t="inlineStr">
        <is>
          <t>Hold Action</t>
        </is>
      </c>
      <c r="C72" s="21" t="inlineStr">
        <is>
          <t>Отложить действие: условие, номер инициативы, цель.</t>
        </is>
      </c>
      <c r="D72" s="18" t="n"/>
      <c r="E72" s="18" t="n"/>
      <c r="F72" s="18" t="n"/>
      <c r="G72" s="18" t="n"/>
      <c r="H72" s="18" t="n"/>
      <c r="I72" s="18" t="n"/>
      <c r="J72" s="18" t="n"/>
      <c r="K72" s="18" t="n"/>
      <c r="L72" s="18" t="n"/>
      <c r="M72" s="18" t="n"/>
      <c r="N72" s="19" t="n"/>
    </row>
    <row r="73" ht="16" customHeight="1">
      <c r="B73" s="21" t="inlineStr">
        <is>
          <t>Human Shield</t>
        </is>
      </c>
      <c r="C73" s="21" t="inlineStr">
        <is>
          <t>Живой щит из схваченного врага (щит с HP = BODY).</t>
        </is>
      </c>
      <c r="D73" s="18" t="n"/>
      <c r="E73" s="18" t="n"/>
      <c r="F73" s="18" t="n"/>
      <c r="G73" s="18" t="n"/>
      <c r="H73" s="18" t="n"/>
      <c r="I73" s="18" t="n"/>
      <c r="J73" s="18" t="n"/>
      <c r="K73" s="18" t="n"/>
      <c r="L73" s="18" t="n"/>
      <c r="M73" s="18" t="n"/>
      <c r="N73" s="19" t="n"/>
    </row>
    <row r="74" ht="16" customHeight="1">
      <c r="B74" s="21" t="inlineStr">
        <is>
          <t>Reload</t>
        </is>
      </c>
      <c r="C74" s="21" t="inlineStr">
        <is>
          <t>Перезарядить магазин одним типом патронов.</t>
        </is>
      </c>
      <c r="D74" s="18" t="n"/>
      <c r="E74" s="18" t="n"/>
      <c r="F74" s="18" t="n"/>
      <c r="G74" s="18" t="n"/>
      <c r="H74" s="18" t="n"/>
      <c r="I74" s="18" t="n"/>
      <c r="J74" s="18" t="n"/>
      <c r="K74" s="18" t="n"/>
      <c r="L74" s="18" t="n"/>
      <c r="M74" s="18" t="n"/>
      <c r="N74" s="19" t="n"/>
    </row>
    <row r="75" ht="16" customHeight="1">
      <c r="B75" s="21" t="inlineStr">
        <is>
          <t>Run</t>
        </is>
      </c>
      <c r="C75" s="21" t="inlineStr">
        <is>
          <t>Дополнительное Move Action, если уже двигался в этом ходу.</t>
        </is>
      </c>
      <c r="D75" s="18" t="n"/>
      <c r="E75" s="18" t="n"/>
      <c r="F75" s="18" t="n"/>
      <c r="G75" s="18" t="n"/>
      <c r="H75" s="18" t="n"/>
      <c r="I75" s="18" t="n"/>
      <c r="J75" s="18" t="n"/>
      <c r="K75" s="18" t="n"/>
      <c r="L75" s="18" t="n"/>
      <c r="M75" s="18" t="n"/>
      <c r="N75" s="19" t="n"/>
    </row>
    <row r="76" ht="16" customHeight="1">
      <c r="B76" s="21" t="inlineStr">
        <is>
          <t>Start a Vehicle</t>
        </is>
      </c>
      <c r="C76" s="21" t="inlineStr">
        <is>
          <t>Завести транспорт: его MOVE — твой, прыжок вверх по инициативе.</t>
        </is>
      </c>
      <c r="D76" s="18" t="n"/>
      <c r="E76" s="18" t="n"/>
      <c r="F76" s="18" t="n"/>
      <c r="G76" s="18" t="n"/>
      <c r="H76" s="18" t="n"/>
      <c r="I76" s="18" t="n"/>
      <c r="J76" s="18" t="n"/>
      <c r="K76" s="18" t="n"/>
      <c r="L76" s="18" t="n"/>
      <c r="M76" s="18" t="n"/>
      <c r="N76" s="19" t="n"/>
    </row>
    <row r="77" ht="16" customHeight="1">
      <c r="B77" s="21" t="inlineStr">
        <is>
          <t>Stabilize</t>
        </is>
      </c>
      <c r="C77" s="21" t="inlineStr">
        <is>
          <t>Стабилизировать цель или вытащить из Mortally Wounded.</t>
        </is>
      </c>
      <c r="D77" s="18" t="n"/>
      <c r="E77" s="18" t="n"/>
      <c r="F77" s="18" t="n"/>
      <c r="G77" s="18" t="n"/>
      <c r="H77" s="18" t="n"/>
      <c r="I77" s="18" t="n"/>
      <c r="J77" s="18" t="n"/>
      <c r="K77" s="18" t="n"/>
      <c r="L77" s="18" t="n"/>
      <c r="M77" s="18" t="n"/>
      <c r="N77" s="19" t="n"/>
    </row>
    <row r="78" ht="16" customHeight="1">
      <c r="B78" s="21" t="inlineStr">
        <is>
          <t>Throw</t>
        </is>
      </c>
      <c r="C78" s="21" t="inlineStr">
        <is>
          <t>Бросить врага в захвате или предмет.</t>
        </is>
      </c>
      <c r="D78" s="18" t="n"/>
      <c r="E78" s="18" t="n"/>
      <c r="F78" s="18" t="n"/>
      <c r="G78" s="18" t="n"/>
      <c r="H78" s="18" t="n"/>
      <c r="I78" s="18" t="n"/>
      <c r="J78" s="18" t="n"/>
      <c r="K78" s="18" t="n"/>
      <c r="L78" s="18" t="n"/>
      <c r="M78" s="18" t="n"/>
      <c r="N78" s="19" t="n"/>
    </row>
    <row r="79" ht="16" customHeight="1">
      <c r="B79" s="21" t="inlineStr">
        <is>
          <t>Use NET Actions</t>
        </is>
      </c>
      <c r="C79" s="21" t="inlineStr">
        <is>
          <t>Сетевые действия (включая Quick Hacks).</t>
        </is>
      </c>
      <c r="D79" s="18" t="n"/>
      <c r="E79" s="18" t="n"/>
      <c r="F79" s="18" t="n"/>
      <c r="G79" s="18" t="n"/>
      <c r="H79" s="18" t="n"/>
      <c r="I79" s="18" t="n"/>
      <c r="J79" s="18" t="n"/>
      <c r="K79" s="18" t="n"/>
      <c r="L79" s="18" t="n"/>
      <c r="M79" s="18" t="n"/>
      <c r="N79" s="19" t="n"/>
    </row>
    <row r="80" ht="16" customHeight="1">
      <c r="B80" s="21" t="inlineStr">
        <is>
          <t>Use an Object</t>
        </is>
      </c>
      <c r="C80" s="21" t="inlineStr">
        <is>
          <t>Использовать предмет без проверки навыка.</t>
        </is>
      </c>
      <c r="D80" s="18" t="n"/>
      <c r="E80" s="18" t="n"/>
      <c r="F80" s="18" t="n"/>
      <c r="G80" s="18" t="n"/>
      <c r="H80" s="18" t="n"/>
      <c r="I80" s="18" t="n"/>
      <c r="J80" s="18" t="n"/>
      <c r="K80" s="18" t="n"/>
      <c r="L80" s="18" t="n"/>
      <c r="M80" s="18" t="n"/>
      <c r="N80" s="19" t="n"/>
    </row>
    <row r="81" ht="16" customHeight="1">
      <c r="B81" s="21" t="inlineStr">
        <is>
          <t>Use a Skill</t>
        </is>
      </c>
      <c r="C81" s="21" t="inlineStr">
        <is>
          <t>Быстрая проверка навыка (долгие задачи — несколько ходов).</t>
        </is>
      </c>
      <c r="D81" s="18" t="n"/>
      <c r="E81" s="18" t="n"/>
      <c r="F81" s="18" t="n"/>
      <c r="G81" s="18" t="n"/>
      <c r="H81" s="18" t="n"/>
      <c r="I81" s="18" t="n"/>
      <c r="J81" s="18" t="n"/>
      <c r="K81" s="18" t="n"/>
      <c r="L81" s="18" t="n"/>
      <c r="M81" s="18" t="n"/>
      <c r="N81" s="19" t="n"/>
    </row>
    <row r="82" ht="16" customHeight="1">
      <c r="B82" s="21" t="inlineStr">
        <is>
          <t>Vehicle Maneuver</t>
        </is>
      </c>
      <c r="C82" s="21" t="inlineStr">
        <is>
          <t>Полная концентрация на сложном манёвре.</t>
        </is>
      </c>
      <c r="D82" s="18" t="n"/>
      <c r="E82" s="18" t="n"/>
      <c r="F82" s="18" t="n"/>
      <c r="G82" s="18" t="n"/>
      <c r="H82" s="18" t="n"/>
      <c r="I82" s="18" t="n"/>
      <c r="J82" s="18" t="n"/>
      <c r="K82" s="18" t="n"/>
      <c r="L82" s="18" t="n"/>
      <c r="M82" s="18" t="n"/>
      <c r="N82" s="19" t="n"/>
    </row>
    <row r="84">
      <c r="B84" s="17" t="inlineStr">
        <is>
          <t>Ⅵ · РАНЫ, СМЕРТЬ, СТАБИЛИЗАЦИЯ</t>
        </is>
      </c>
    </row>
    <row r="85">
      <c r="B85" s="20" t="inlineStr">
        <is>
          <t>СОСТОЯНИЕ</t>
        </is>
      </c>
      <c r="C85" s="20" t="inlineStr">
        <is>
          <t>ПОРОГ</t>
        </is>
      </c>
      <c r="D85" s="20" t="inlineStr">
        <is>
          <t>ЭФФЕКТ И СТАБИЛИЗАЦИЯ</t>
        </is>
      </c>
    </row>
    <row r="86" ht="30" customHeight="1">
      <c r="B86" s="21" t="inlineStr">
        <is>
          <t>Смертельное (Mortally Wounded)</t>
        </is>
      </c>
      <c r="C86" s="31" t="inlineStr">
        <is>
          <t>HP &lt; 1</t>
        </is>
      </c>
      <c r="D86" s="21" t="inlineStr">
        <is>
          <t>−4 ко всем действиям, −6 MOVE (мин. 1). В начале хода — спасбросок смерти. Урон атакой: +крит. травма и +1 к штрафу спасброска.  ·  DV15 → 1 HP, без сознания (1 минута)</t>
        </is>
      </c>
      <c r="E86" s="18" t="n"/>
      <c r="F86" s="18" t="n"/>
      <c r="G86" s="18" t="n"/>
      <c r="H86" s="18" t="n"/>
      <c r="I86" s="18" t="n"/>
      <c r="J86" s="18" t="n"/>
      <c r="K86" s="18" t="n"/>
      <c r="L86" s="18" t="n"/>
      <c r="M86" s="18" t="n"/>
      <c r="N86" s="19" t="n"/>
    </row>
    <row r="87" ht="30" customHeight="1">
      <c r="B87" s="21" t="inlineStr">
        <is>
          <t>Серьёзное (Seriously Wounded)</t>
        </is>
      </c>
      <c r="C87" s="31" t="inlineStr">
        <is>
          <t>HP ≤ ½ максимума (вверх)</t>
        </is>
      </c>
      <c r="D87" s="21" t="inlineStr">
        <is>
          <t>−2 ко всем действиям.  ·  DV13</t>
        </is>
      </c>
      <c r="E87" s="18" t="n"/>
      <c r="F87" s="18" t="n"/>
      <c r="G87" s="18" t="n"/>
      <c r="H87" s="18" t="n"/>
      <c r="I87" s="18" t="n"/>
      <c r="J87" s="18" t="n"/>
      <c r="K87" s="18" t="n"/>
      <c r="L87" s="18" t="n"/>
      <c r="M87" s="18" t="n"/>
      <c r="N87" s="19" t="n"/>
    </row>
    <row r="88" ht="30" customHeight="1">
      <c r="B88" s="21" t="inlineStr">
        <is>
          <t>Лёгкое (Lightly Wounded)</t>
        </is>
      </c>
      <c r="C88" s="31" t="inlineStr">
        <is>
          <t>HP &lt; максимума</t>
        </is>
      </c>
      <c r="D88" s="21" t="inlineStr">
        <is>
          <t>Эффектов нет.  ·  DV10</t>
        </is>
      </c>
      <c r="E88" s="18" t="n"/>
      <c r="F88" s="18" t="n"/>
      <c r="G88" s="18" t="n"/>
      <c r="H88" s="18" t="n"/>
      <c r="I88" s="18" t="n"/>
      <c r="J88" s="18" t="n"/>
      <c r="K88" s="18" t="n"/>
      <c r="L88" s="18" t="n"/>
      <c r="M88" s="18" t="n"/>
      <c r="N88" s="19" t="n"/>
    </row>
    <row r="89" ht="30" customHeight="1">
      <c r="B89" s="21" t="inlineStr">
        <is>
          <t>Мёртв</t>
        </is>
      </c>
      <c r="C89" s="31" t="inlineStr">
        <is>
          <t>Проваленный спасбросок смерти</t>
        </is>
      </c>
      <c r="D89" s="21" t="inlineStr">
        <is>
          <t>Ты мёртв. Соболезнуем.  ·  —</t>
        </is>
      </c>
      <c r="E89" s="18" t="n"/>
      <c r="F89" s="18" t="n"/>
      <c r="G89" s="18" t="n"/>
      <c r="H89" s="18" t="n"/>
      <c r="I89" s="18" t="n"/>
      <c r="J89" s="18" t="n"/>
      <c r="K89" s="18" t="n"/>
      <c r="L89" s="18" t="n"/>
      <c r="M89" s="18" t="n"/>
      <c r="N89" s="19" t="n"/>
    </row>
    <row r="90" ht="30" customHeight="1">
      <c r="B90" s="6" t="inlineStr">
        <is>
          <t>Смертельный спасбросок: 1d10 ≤ BODY − штраф. Выпало «10» — провал. Провал = смерть. Крит-травма: два и более «6» на кубах урона → +5 урона напрямую в HP и эффект травмы (таблицы на листе 06).</t>
        </is>
      </c>
    </row>
    <row r="92">
      <c r="B92" s="17" t="inlineStr">
        <is>
          <t>Ⅶ · IP: СКОЛЬКО СТОИТ РАЗВИТИЕ  ·  CP:R СТР. 408</t>
        </is>
      </c>
    </row>
    <row r="93">
      <c r="B93" s="20" t="inlineStr">
        <is>
          <t>ЧТО УЛУЧШАЕМ</t>
        </is>
      </c>
      <c r="C93" s="20" t="inlineStr">
        <is>
          <t>1</t>
        </is>
      </c>
      <c r="D93" s="20" t="inlineStr">
        <is>
          <t>2</t>
        </is>
      </c>
      <c r="E93" s="20" t="inlineStr">
        <is>
          <t>3</t>
        </is>
      </c>
      <c r="F93" s="20" t="inlineStr">
        <is>
          <t>4</t>
        </is>
      </c>
      <c r="G93" s="20" t="inlineStr">
        <is>
          <t>5</t>
        </is>
      </c>
      <c r="H93" s="20" t="inlineStr">
        <is>
          <t>6</t>
        </is>
      </c>
      <c r="I93" s="20" t="inlineStr">
        <is>
          <t>7</t>
        </is>
      </c>
      <c r="J93" s="20" t="inlineStr">
        <is>
          <t>8</t>
        </is>
      </c>
      <c r="K93" s="20" t="inlineStr">
        <is>
          <t>9</t>
        </is>
      </c>
      <c r="L93" s="20" t="inlineStr">
        <is>
          <t>10</t>
        </is>
      </c>
    </row>
    <row r="94">
      <c r="B94" s="21" t="inlineStr">
        <is>
          <t>НАВЫК (20 × уровень)</t>
        </is>
      </c>
      <c r="C94" s="30" t="n">
        <v>20</v>
      </c>
      <c r="D94" s="30" t="n">
        <v>40</v>
      </c>
      <c r="E94" s="30" t="n">
        <v>60</v>
      </c>
      <c r="F94" s="30" t="n">
        <v>80</v>
      </c>
      <c r="G94" s="30" t="n">
        <v>100</v>
      </c>
      <c r="H94" s="30" t="n">
        <v>120</v>
      </c>
      <c r="I94" s="30" t="n">
        <v>140</v>
      </c>
      <c r="J94" s="30" t="n">
        <v>160</v>
      </c>
      <c r="K94" s="30" t="n">
        <v>180</v>
      </c>
      <c r="L94" s="30" t="n">
        <v>200</v>
      </c>
    </row>
    <row r="95">
      <c r="B95" s="21" t="inlineStr">
        <is>
          <t>НАВЫК ×2 (40 × уровень)</t>
        </is>
      </c>
      <c r="C95" s="30" t="n">
        <v>40</v>
      </c>
      <c r="D95" s="30" t="n">
        <v>80</v>
      </c>
      <c r="E95" s="30" t="n">
        <v>120</v>
      </c>
      <c r="F95" s="30" t="n">
        <v>160</v>
      </c>
      <c r="G95" s="30" t="n">
        <v>200</v>
      </c>
      <c r="H95" s="30" t="n">
        <v>240</v>
      </c>
      <c r="I95" s="30" t="n">
        <v>280</v>
      </c>
      <c r="J95" s="30" t="n">
        <v>320</v>
      </c>
      <c r="K95" s="30" t="n">
        <v>360</v>
      </c>
      <c r="L95" s="30" t="n">
        <v>400</v>
      </c>
    </row>
    <row r="96">
      <c r="B96" s="21" t="inlineStr">
        <is>
          <t>РОЛЕВАЯ СПОСОБНОСТЬ (60 × ранг)</t>
        </is>
      </c>
      <c r="C96" s="30" t="n">
        <v>60</v>
      </c>
      <c r="D96" s="30" t="n">
        <v>120</v>
      </c>
      <c r="E96" s="30" t="n">
        <v>180</v>
      </c>
      <c r="F96" s="30" t="n">
        <v>240</v>
      </c>
      <c r="G96" s="30" t="n">
        <v>300</v>
      </c>
      <c r="H96" s="30" t="n">
        <v>360</v>
      </c>
      <c r="I96" s="30" t="n">
        <v>420</v>
      </c>
      <c r="J96" s="30" t="n">
        <v>480</v>
      </c>
      <c r="K96" s="30" t="n">
        <v>540</v>
      </c>
      <c r="L96" s="30" t="n">
        <v>600</v>
      </c>
    </row>
    <row r="97" ht="30" customHeight="1">
      <c r="B97" s="6" t="inlineStr">
        <is>
          <t>Столбцы — НОВЫЙ уровень/ранг. Перескакивать уровни нельзя, даже если IP хватает: сначала надо отыграть на текущем. Улучшения записывай на листе 06 — стоимость посчитается сама.</t>
        </is>
      </c>
    </row>
    <row r="98" ht="30" customHeight="1">
      <c r="B98" s="6" t="inlineStr">
        <is>
          <t>ОПЫТ: 10 IP — «старались, но не вышло» / боевые навыки/поддержка/исследование/отыгрыш; 20 IP — дело выполнено еле-еле; 30–50 IP — уверенный успех, важные цели, выдающийся отыгрыш. GM выдаёт по стилю игры каждого.</t>
        </is>
      </c>
    </row>
    <row r="100">
      <c r="B100" s="17" t="inlineStr">
        <is>
          <t>Ⅷ · ЖИЗНЬ, ЖИЛЬЁ, МЕДИЦИНА: ПОЧЁМ В 2070-Х</t>
        </is>
      </c>
    </row>
    <row r="101">
      <c r="B101" s="20" t="inlineStr">
        <is>
          <t>СТАТЬЯ</t>
        </is>
      </c>
      <c r="C101" s="20" t="inlineStr">
        <is>
          <t>ЦЕНА €$</t>
        </is>
      </c>
      <c r="D101" s="20" t="inlineStr">
        <is>
          <t>ПОЯСНЕНИЕ</t>
        </is>
      </c>
    </row>
    <row r="102" ht="16" customHeight="1">
      <c r="B102" s="21" t="inlineStr">
        <is>
          <t>Lifestyle: Kibble</t>
        </is>
      </c>
      <c r="C102" s="31" t="inlineStr">
        <is>
          <t>100 / мес</t>
        </is>
      </c>
      <c r="D102" s="21" t="inlineStr">
        <is>
          <t>Еда-пайка. Стартовый Lifestyle у всех покрыт.</t>
        </is>
      </c>
      <c r="E102" s="18" t="n"/>
      <c r="F102" s="18" t="n"/>
      <c r="G102" s="18" t="n"/>
      <c r="H102" s="18" t="n"/>
      <c r="I102" s="18" t="n"/>
      <c r="J102" s="18" t="n"/>
      <c r="K102" s="18" t="n"/>
      <c r="L102" s="18" t="n"/>
      <c r="M102" s="18" t="n"/>
      <c r="N102" s="19" t="n"/>
    </row>
    <row r="103" ht="16" customHeight="1">
      <c r="B103" s="21" t="inlineStr">
        <is>
          <t>Lifestyle: Generic Prepak</t>
        </is>
      </c>
      <c r="C103" s="31" t="inlineStr">
        <is>
          <t>300 / мес</t>
        </is>
      </c>
      <c r="D103" s="21" t="inlineStr">
        <is>
          <t>Нормальная еда, вечер в хорошем баре.</t>
        </is>
      </c>
      <c r="E103" s="18" t="n"/>
      <c r="F103" s="18" t="n"/>
      <c r="G103" s="18" t="n"/>
      <c r="H103" s="18" t="n"/>
      <c r="I103" s="18" t="n"/>
      <c r="J103" s="18" t="n"/>
      <c r="K103" s="18" t="n"/>
      <c r="L103" s="18" t="n"/>
      <c r="M103" s="18" t="n"/>
      <c r="N103" s="19" t="n"/>
    </row>
    <row r="104" ht="16" customHeight="1">
      <c r="B104" s="21" t="inlineStr">
        <is>
          <t>Lifestyle: Good Prepak</t>
        </is>
      </c>
      <c r="C104" s="31" t="inlineStr">
        <is>
          <t>600 / мес</t>
        </is>
      </c>
      <c r="D104" s="21" t="inlineStr">
        <is>
          <t>Еда как в ресторане, концерты раз в месяц.</t>
        </is>
      </c>
      <c r="E104" s="18" t="n"/>
      <c r="F104" s="18" t="n"/>
      <c r="G104" s="18" t="n"/>
      <c r="H104" s="18" t="n"/>
      <c r="I104" s="18" t="n"/>
      <c r="J104" s="18" t="n"/>
      <c r="K104" s="18" t="n"/>
      <c r="L104" s="18" t="n"/>
      <c r="M104" s="18" t="n"/>
      <c r="N104" s="19" t="n"/>
    </row>
    <row r="105" ht="16" customHeight="1">
      <c r="B105" s="21" t="inlineStr">
        <is>
          <t>Lifestyle: Fresh Food</t>
        </is>
      </c>
      <c r="C105" s="31" t="inlineStr">
        <is>
          <t>1 500 / мес</t>
        </is>
      </c>
      <c r="D105" s="21" t="inlineStr">
        <is>
          <t>Настоящая еда, отель без счёта, executive-бар.</t>
        </is>
      </c>
      <c r="E105" s="18" t="n"/>
      <c r="F105" s="18" t="n"/>
      <c r="G105" s="18" t="n"/>
      <c r="H105" s="18" t="n"/>
      <c r="I105" s="18" t="n"/>
      <c r="J105" s="18" t="n"/>
      <c r="K105" s="18" t="n"/>
      <c r="L105" s="18" t="n"/>
      <c r="M105" s="18" t="n"/>
      <c r="N105" s="19" t="n"/>
    </row>
    <row r="106" ht="16" customHeight="1">
      <c r="B106" s="21" t="inlineStr">
        <is>
          <t>Жильё: Cube Hotel</t>
        </is>
      </c>
      <c r="C106" s="31" t="inlineStr">
        <is>
          <t>500 / мес</t>
        </is>
      </c>
      <c r="D106" s="21" t="inlineStr">
        <is>
          <t>Капсула. Ежемесячный срез Humanity по CEMK.</t>
        </is>
      </c>
      <c r="E106" s="18" t="n"/>
      <c r="F106" s="18" t="n"/>
      <c r="G106" s="18" t="n"/>
      <c r="H106" s="18" t="n"/>
      <c r="I106" s="18" t="n"/>
      <c r="J106" s="18" t="n"/>
      <c r="K106" s="18" t="n"/>
      <c r="L106" s="18" t="n"/>
      <c r="M106" s="18" t="n"/>
      <c r="N106" s="19" t="n"/>
    </row>
    <row r="107" ht="16" customHeight="1">
      <c r="B107" s="21" t="inlineStr">
        <is>
          <t>Жильё: Cargo Container</t>
        </is>
      </c>
      <c r="C107" s="31" t="inlineStr">
        <is>
          <t>1 000 / мес</t>
        </is>
      </c>
      <c r="D107" s="21" t="inlineStr">
        <is>
          <t>Стартовое жильё (первый месяц бесплатно).</t>
        </is>
      </c>
      <c r="E107" s="18" t="n"/>
      <c r="F107" s="18" t="n"/>
      <c r="G107" s="18" t="n"/>
      <c r="H107" s="18" t="n"/>
      <c r="I107" s="18" t="n"/>
      <c r="J107" s="18" t="n"/>
      <c r="K107" s="18" t="n"/>
      <c r="L107" s="18" t="n"/>
      <c r="M107" s="18" t="n"/>
      <c r="N107" s="19" t="n"/>
    </row>
    <row r="108" ht="16" customHeight="1">
      <c r="B108" s="21" t="inlineStr">
        <is>
          <t>Жильё: Studio Apartment</t>
        </is>
      </c>
      <c r="C108" s="31" t="inlineStr">
        <is>
          <t>1 500 / мес</t>
        </is>
      </c>
      <c r="D108" s="21" t="inlineStr">
        <is>
          <t>Обычная квартира — как у команды в мегабашне VEX (Rent).</t>
        </is>
      </c>
      <c r="E108" s="18" t="n"/>
      <c r="F108" s="18" t="n"/>
      <c r="G108" s="18" t="n"/>
      <c r="H108" s="18" t="n"/>
      <c r="I108" s="18" t="n"/>
      <c r="J108" s="18" t="n"/>
      <c r="K108" s="18" t="n"/>
      <c r="L108" s="18" t="n"/>
      <c r="M108" s="18" t="n"/>
      <c r="N108" s="19" t="n"/>
    </row>
    <row r="109" ht="16" customHeight="1">
      <c r="B109" s="21" t="inlineStr">
        <is>
          <t>Trauma Team Silver</t>
        </is>
      </c>
      <c r="C109" s="31" t="inlineStr">
        <is>
          <t>500 / год</t>
        </is>
      </c>
      <c r="D109" s="21" t="inlineStr">
        <is>
          <t>Подписка: привозят в больницу и стабилизируют.</t>
        </is>
      </c>
      <c r="E109" s="18" t="n"/>
      <c r="F109" s="18" t="n"/>
      <c r="G109" s="18" t="n"/>
      <c r="H109" s="18" t="n"/>
      <c r="I109" s="18" t="n"/>
      <c r="J109" s="18" t="n"/>
      <c r="K109" s="18" t="n"/>
      <c r="L109" s="18" t="n"/>
      <c r="M109" s="18" t="n"/>
      <c r="N109" s="19" t="n"/>
    </row>
    <row r="110" ht="16" customHeight="1">
      <c r="B110" s="21" t="inlineStr">
        <is>
          <t>Trauma Team Executive</t>
        </is>
      </c>
      <c r="C110" s="31" t="inlineStr">
        <is>
          <t>1 000 / год</t>
        </is>
      </c>
      <c r="D110" s="21" t="inlineStr">
        <is>
          <t>Плюс лечение и VIP-палата.</t>
        </is>
      </c>
      <c r="E110" s="18" t="n"/>
      <c r="F110" s="18" t="n"/>
      <c r="G110" s="18" t="n"/>
      <c r="H110" s="18" t="n"/>
      <c r="I110" s="18" t="n"/>
      <c r="J110" s="18" t="n"/>
      <c r="K110" s="18" t="n"/>
      <c r="L110" s="18" t="n"/>
      <c r="M110" s="18" t="n"/>
      <c r="N110" s="19" t="n"/>
    </row>
    <row r="111" ht="16" customHeight="1">
      <c r="B111" s="21" t="inlineStr">
        <is>
          <t>Hospital Treatment DV10/13/15/17+</t>
        </is>
      </c>
      <c r="C111" s="31" t="inlineStr">
        <is>
          <t>50 / 100 / 500 / 1 000</t>
        </is>
      </c>
      <c r="D111" s="21" t="inlineStr">
        <is>
          <t>Больничная помощь по сложности ранения.</t>
        </is>
      </c>
      <c r="E111" s="18" t="n"/>
      <c r="F111" s="18" t="n"/>
      <c r="G111" s="18" t="n"/>
      <c r="H111" s="18" t="n"/>
      <c r="I111" s="18" t="n"/>
      <c r="J111" s="18" t="n"/>
      <c r="K111" s="18" t="n"/>
      <c r="L111" s="18" t="n"/>
      <c r="M111" s="18" t="n"/>
      <c r="N111" s="19" t="n"/>
    </row>
    <row r="112" ht="16" customHeight="1">
      <c r="B112" s="21" t="inlineStr">
        <is>
          <t>Терапия: Standard HL</t>
        </is>
      </c>
      <c r="C112" s="31" t="inlineStr">
        <is>
          <t>500 + 100 материалов</t>
        </is>
      </c>
      <c r="D112" s="21" t="inlineStr">
        <is>
          <t>Неделя, Medical Tech DV15, возврат 2d6 Humanity.</t>
        </is>
      </c>
      <c r="E112" s="18" t="n"/>
      <c r="F112" s="18" t="n"/>
      <c r="G112" s="18" t="n"/>
      <c r="H112" s="18" t="n"/>
      <c r="I112" s="18" t="n"/>
      <c r="J112" s="18" t="n"/>
      <c r="K112" s="18" t="n"/>
      <c r="L112" s="18" t="n"/>
      <c r="M112" s="18" t="n"/>
      <c r="N112" s="19" t="n"/>
    </row>
    <row r="113" ht="16" customHeight="1">
      <c r="B113" s="21" t="inlineStr">
        <is>
          <t>Терапия: Extreme HL</t>
        </is>
      </c>
      <c r="C113" s="31" t="inlineStr">
        <is>
          <t>1 000 + 500 материалов</t>
        </is>
      </c>
      <c r="D113" s="21" t="inlineStr">
        <is>
          <t>Неделя, DV17, возврат 4d6 Humanity.</t>
        </is>
      </c>
      <c r="E113" s="18" t="n"/>
      <c r="F113" s="18" t="n"/>
      <c r="G113" s="18" t="n"/>
      <c r="H113" s="18" t="n"/>
      <c r="I113" s="18" t="n"/>
      <c r="J113" s="18" t="n"/>
      <c r="K113" s="18" t="n"/>
      <c r="L113" s="18" t="n"/>
      <c r="M113" s="18" t="n"/>
      <c r="N113" s="19" t="n"/>
    </row>
    <row r="114" ht="16" customHeight="1">
      <c r="B114" s="21" t="inlineStr">
        <is>
          <t>Терапия: Addiction</t>
        </is>
      </c>
      <c r="C114" s="31" t="inlineStr">
        <is>
          <t>1 000 + 500 материалов</t>
        </is>
      </c>
      <c r="D114" s="21" t="inlineStr">
        <is>
          <t>Неделя, DV15, снимает одну зависимость.</t>
        </is>
      </c>
      <c r="E114" s="18" t="n"/>
      <c r="F114" s="18" t="n"/>
      <c r="G114" s="18" t="n"/>
      <c r="H114" s="18" t="n"/>
      <c r="I114" s="18" t="n"/>
      <c r="J114" s="18" t="n"/>
      <c r="K114" s="18" t="n"/>
      <c r="L114" s="18" t="n"/>
      <c r="M114" s="18" t="n"/>
      <c r="N114" s="19" t="n"/>
    </row>
    <row r="115" ht="16" customHeight="1">
      <c r="B115" s="21" t="inlineStr">
        <is>
          <t>Biosculpting</t>
        </is>
      </c>
      <c r="C115" s="31" t="inlineStr">
        <is>
          <t>500 / 1 000</t>
        </is>
      </c>
      <c r="D115" s="21" t="inlineStr">
        <is>
          <t>Смена внешности: стандарт / экзотика.</t>
        </is>
      </c>
      <c r="E115" s="18" t="n"/>
      <c r="F115" s="18" t="n"/>
      <c r="G115" s="18" t="n"/>
      <c r="H115" s="18" t="n"/>
      <c r="I115" s="18" t="n"/>
      <c r="J115" s="18" t="n"/>
      <c r="K115" s="18" t="n"/>
      <c r="L115" s="18" t="n"/>
      <c r="M115" s="18" t="n"/>
      <c r="N115" s="19" t="n"/>
    </row>
    <row r="116" ht="16" customHeight="1">
      <c r="B116" s="21" t="inlineStr">
        <is>
          <t>Установка найденного хрома</t>
        </is>
      </c>
      <c r="C116" s="31" t="inlineStr">
        <is>
          <t>100 / 500 / 1 000</t>
        </is>
      </c>
      <c r="D116" s="21" t="inlineStr">
        <is>
          <t>Молл / клиника / больница.</t>
        </is>
      </c>
      <c r="E116" s="18" t="n"/>
      <c r="F116" s="18" t="n"/>
      <c r="G116" s="18" t="n"/>
      <c r="H116" s="18" t="n"/>
      <c r="I116" s="18" t="n"/>
      <c r="J116" s="18" t="n"/>
      <c r="K116" s="18" t="n"/>
      <c r="L116" s="18" t="n"/>
      <c r="M116" s="18" t="n"/>
      <c r="N116" s="19" t="n"/>
    </row>
    <row r="117" ht="16" customHeight="1">
      <c r="B117" s="21" t="inlineStr">
        <is>
          <t>Продать лут (Streetwise)</t>
        </is>
      </c>
      <c r="C117" s="31" t="inlineStr">
        <is>
          <t>×½ цены</t>
        </is>
      </c>
      <c r="D117" s="21" t="inlineStr">
        <is>
          <t>Скупка за половину; редкое — через Fixer.</t>
        </is>
      </c>
      <c r="E117" s="18" t="n"/>
      <c r="F117" s="18" t="n"/>
      <c r="G117" s="18" t="n"/>
      <c r="H117" s="18" t="n"/>
      <c r="I117" s="18" t="n"/>
      <c r="J117" s="18" t="n"/>
      <c r="K117" s="18" t="n"/>
      <c r="L117" s="18" t="n"/>
      <c r="M117" s="18" t="n"/>
      <c r="N117" s="19" t="n"/>
    </row>
    <row r="119">
      <c r="B119" s="17" t="inlineStr">
        <is>
          <t>Ⅸ · 2070-Е: ЧТО РАБОТАЕТ ИНАЧЕ (CEMK «THE 2070s IN CYBERPUNK RED»)</t>
        </is>
      </c>
    </row>
    <row r="121" ht="30" customHeight="1">
      <c r="B121" s="21" t="inlineStr">
        <is>
          <t>1. NEUROPORT: при создании можно поставить бесплатно — 0 €$, 0 HL, максимум Humanity не режется. Любой немедицинский хром требует Neuroport.</t>
        </is>
      </c>
      <c r="C121" s="18" t="n"/>
      <c r="D121" s="18" t="n"/>
      <c r="E121" s="18" t="n"/>
      <c r="F121" s="18" t="n"/>
      <c r="G121" s="18" t="n"/>
      <c r="H121" s="18" t="n"/>
      <c r="I121" s="18" t="n"/>
      <c r="J121" s="18" t="n"/>
      <c r="K121" s="18" t="n"/>
      <c r="L121" s="18" t="n"/>
      <c r="M121" s="18" t="n"/>
      <c r="N121" s="19" t="n"/>
    </row>
    <row r="122" ht="30" customHeight="1">
      <c r="B122" s="21" t="inlineStr">
        <is>
          <t>2. РОЛИ В 2070-Х: Fixer достаёт дорогие вещи поштучно с ранга 1 (на ранге 4 — Very Expensive, 7 — Luxury, 9 — Super Luxury). Exec/Media/Rockerboy/Lawman — с ранга 4. Nomad — любые транспорт и апгрейды с ранга 1 (Moto).</t>
        </is>
      </c>
      <c r="C122" s="18" t="n"/>
      <c r="D122" s="18" t="n"/>
      <c r="E122" s="18" t="n"/>
      <c r="F122" s="18" t="n"/>
      <c r="G122" s="18" t="n"/>
      <c r="H122" s="18" t="n"/>
      <c r="I122" s="18" t="n"/>
      <c r="J122" s="18" t="n"/>
      <c r="K122" s="18" t="n"/>
      <c r="L122" s="18" t="n"/>
      <c r="M122" s="18" t="n"/>
      <c r="N122" s="19" t="n"/>
    </row>
    <row r="123" ht="30" customHeight="1">
      <c r="B123" s="21" t="inlineStr">
        <is>
          <t>3. НЕТРАННЕРЫ: Quickhack по хрому — Simple (DV6) с ранга 1, Standard (DV8) — 2, Difficult (DV10) — 3, Advanced (DV12) — 4. Scanner стал NET-действием, а на ранге 3 Interface нейропорты вскрываются без проверки.</t>
        </is>
      </c>
      <c r="C123" s="18" t="n"/>
      <c r="D123" s="18" t="n"/>
      <c r="E123" s="18" t="n"/>
      <c r="F123" s="18" t="n"/>
      <c r="G123" s="18" t="n"/>
      <c r="H123" s="18" t="n"/>
      <c r="I123" s="18" t="n"/>
      <c r="J123" s="18" t="n"/>
      <c r="K123" s="18" t="n"/>
      <c r="L123" s="18" t="n"/>
      <c r="M123" s="18" t="n"/>
      <c r="N123" s="19" t="n"/>
    </row>
    <row r="124" ht="30" customHeight="1">
      <c r="B124" s="21" t="inlineStr">
        <is>
          <t>4. ДОСТУПНОСТЬ: почти всё можно купить напрямую у производителя, но по двойной цене (кроме уникального/кастомного).</t>
        </is>
      </c>
      <c r="C124" s="18" t="n"/>
      <c r="D124" s="18" t="n"/>
      <c r="E124" s="18" t="n"/>
      <c r="F124" s="18" t="n"/>
      <c r="G124" s="18" t="n"/>
      <c r="H124" s="18" t="n"/>
      <c r="I124" s="18" t="n"/>
      <c r="J124" s="18" t="n"/>
      <c r="K124" s="18" t="n"/>
      <c r="L124" s="18" t="n"/>
      <c r="M124" s="18" t="n"/>
      <c r="N124" s="19" t="n"/>
    </row>
    <row r="125" ht="30" customHeight="1">
      <c r="B125" s="21" t="inlineStr">
        <is>
          <t>5. МЕНТАЛЬНАЯ ТРАВМА: Humanity меняется не только от хрома — события и месяцы жизни режут или возвращают её (см. лист 04).</t>
        </is>
      </c>
      <c r="C125" s="18" t="n"/>
      <c r="D125" s="18" t="n"/>
      <c r="E125" s="18" t="n"/>
      <c r="F125" s="18" t="n"/>
      <c r="G125" s="18" t="n"/>
      <c r="H125" s="18" t="n"/>
      <c r="I125" s="18" t="n"/>
      <c r="J125" s="18" t="n"/>
      <c r="K125" s="18" t="n"/>
      <c r="L125" s="18" t="n"/>
      <c r="M125" s="18" t="n"/>
      <c r="N125" s="19" t="n"/>
    </row>
    <row r="127">
      <c r="B127" s="17" t="inlineStr">
        <is>
          <t>Ⅹ · LAWMAN · BACKUP: ВЫЗОВ ПОДКРЕПЛЕНИЯ  ·  CP:R СТР. 158–159</t>
        </is>
      </c>
    </row>
    <row r="128">
      <c r="B128" s="20" t="inlineStr">
        <is>
          <t>РАНГ BACKUP</t>
        </is>
      </c>
      <c r="C128" s="20" t="inlineStr">
        <is>
          <t>БОЕВОЙ №</t>
        </is>
      </c>
      <c r="D128" s="20" t="inlineStr">
        <is>
          <t>SP</t>
        </is>
      </c>
      <c r="E128" s="20" t="inlineStr">
        <is>
          <t>HP</t>
        </is>
      </c>
      <c r="F128" s="20" t="inlineStr">
        <is>
          <t>MOVE / BODY</t>
        </is>
      </c>
      <c r="G128" s="20" t="inlineStr">
        <is>
          <t>КТО ПРИЕДЕТ</t>
        </is>
      </c>
    </row>
    <row r="129" ht="26" customHeight="1">
      <c r="B129" s="21" t="inlineStr">
        <is>
          <t>1–2</t>
        </is>
      </c>
      <c r="C129" s="31" t="inlineStr">
        <is>
          <t>8</t>
        </is>
      </c>
      <c r="D129" s="31" t="inlineStr">
        <is>
          <t>7</t>
        </is>
      </c>
      <c r="E129" s="31" t="inlineStr">
        <is>
          <t>20</t>
        </is>
      </c>
      <c r="F129" s="31" t="inlineStr">
        <is>
          <t>4 / 4</t>
        </is>
      </c>
      <c r="G129" s="21" t="inlineStr">
        <is>
          <t>Корпоративная охрана: 4 прокат-копа, пешком. Heavy Pistols, Kevlar.</t>
        </is>
      </c>
      <c r="H129" s="18" t="n"/>
      <c r="I129" s="18" t="n"/>
      <c r="J129" s="18" t="n"/>
      <c r="K129" s="18" t="n"/>
      <c r="L129" s="18" t="n"/>
      <c r="M129" s="18" t="n"/>
      <c r="N129" s="19" t="n"/>
    </row>
    <row r="130" ht="26" customHeight="1">
      <c r="B130" s="21" t="inlineStr">
        <is>
          <t>3–4</t>
        </is>
      </c>
      <c r="C130" s="31" t="inlineStr">
        <is>
          <t>10</t>
        </is>
      </c>
      <c r="D130" s="31" t="inlineStr">
        <is>
          <t>7</t>
        </is>
      </c>
      <c r="E130" s="31" t="inlineStr">
        <is>
          <t>25</t>
        </is>
      </c>
      <c r="F130" s="31" t="inlineStr">
        <is>
          <t>5 / 5</t>
        </is>
      </c>
      <c r="G130" s="21" t="inlineStr">
        <is>
          <t>Патрульные: 4 копа на двух Compact Groundcar. Heavy Pistols, Kevlar.</t>
        </is>
      </c>
      <c r="H130" s="18" t="n"/>
      <c r="I130" s="18" t="n"/>
      <c r="J130" s="18" t="n"/>
      <c r="K130" s="18" t="n"/>
      <c r="L130" s="18" t="n"/>
      <c r="M130" s="18" t="n"/>
      <c r="N130" s="19" t="n"/>
    </row>
    <row r="131" ht="26" customHeight="1">
      <c r="B131" s="21" t="inlineStr">
        <is>
          <t>5–7</t>
        </is>
      </c>
      <c r="C131" s="31" t="inlineStr">
        <is>
          <t>14</t>
        </is>
      </c>
      <c r="D131" s="31" t="inlineStr">
        <is>
          <t>13</t>
        </is>
      </c>
      <c r="E131" s="31" t="inlineStr">
        <is>
          <t>35</t>
        </is>
      </c>
      <c r="F131" s="31" t="inlineStr">
        <is>
          <t>4 / 4</t>
        </is>
      </c>
      <c r="G131" s="21" t="inlineStr">
        <is>
          <t>Департамент шерифа: 2 «маунти» на High Performance Groundcar. Heavy Pistols + Assault Rifles, Heavy Armorjack.</t>
        </is>
      </c>
      <c r="H131" s="18" t="n"/>
      <c r="I131" s="18" t="n"/>
      <c r="J131" s="18" t="n"/>
      <c r="K131" s="18" t="n"/>
      <c r="L131" s="18" t="n"/>
      <c r="M131" s="18" t="n"/>
      <c r="N131" s="19" t="n"/>
    </row>
    <row r="132" ht="26" customHeight="1">
      <c r="B132" s="21" t="inlineStr">
        <is>
          <t>8</t>
        </is>
      </c>
      <c r="C132" s="31" t="inlineStr">
        <is>
          <t>16</t>
        </is>
      </c>
      <c r="D132" s="31" t="inlineStr">
        <is>
          <t>15</t>
        </is>
      </c>
      <c r="E132" s="31" t="inlineStr">
        <is>
          <t>50</t>
        </is>
      </c>
      <c r="F132" s="31" t="inlineStr">
        <is>
          <t>6 / 6</t>
        </is>
      </c>
      <c r="G132" s="21" t="inlineStr">
        <is>
          <t>Маршал зоны восстановления: один, на Superbike. Very Heavy Pistol, Assault Rifle, Grenade Launcher, Flak.</t>
        </is>
      </c>
      <c r="H132" s="18" t="n"/>
      <c r="I132" s="18" t="n"/>
      <c r="J132" s="18" t="n"/>
      <c r="K132" s="18" t="n"/>
      <c r="L132" s="18" t="n"/>
      <c r="M132" s="18" t="n"/>
      <c r="N132" s="19" t="n"/>
    </row>
    <row r="133" ht="26" customHeight="1">
      <c r="B133" s="21" t="inlineStr">
        <is>
          <t>9</t>
        </is>
      </c>
      <c r="C133" s="31" t="inlineStr">
        <is>
          <t>15</t>
        </is>
      </c>
      <c r="D133" s="31" t="inlineStr">
        <is>
          <t>18</t>
        </is>
      </c>
      <c r="E133" s="31" t="inlineStr">
        <is>
          <t>35</t>
        </is>
      </c>
      <c r="F133" s="31" t="inlineStr">
        <is>
          <t>4 / 4</t>
        </is>
      </c>
      <c r="G133" s="21" t="inlineStr">
        <is>
          <t>C-SWAT: 2 бойца Psycho Squad с AV-4. Assault Rifles + Rocket Launchers, Metalgear.</t>
        </is>
      </c>
      <c r="H133" s="18" t="n"/>
      <c r="I133" s="18" t="n"/>
      <c r="J133" s="18" t="n"/>
      <c r="K133" s="18" t="n"/>
      <c r="L133" s="18" t="n"/>
      <c r="M133" s="18" t="n"/>
      <c r="N133" s="19" t="n"/>
    </row>
    <row r="134" ht="26" customHeight="1">
      <c r="B134" s="21" t="inlineStr">
        <is>
          <t>10</t>
        </is>
      </c>
      <c r="C134" s="31" t="inlineStr">
        <is>
          <t>14</t>
        </is>
      </c>
      <c r="D134" s="31" t="inlineStr">
        <is>
          <t>11</t>
        </is>
      </c>
      <c r="E134" s="31" t="inlineStr">
        <is>
          <t>35</t>
        </is>
      </c>
      <c r="F134" s="31" t="inlineStr">
        <is>
          <t>6 / 6</t>
        </is>
      </c>
      <c r="G134" s="21" t="inlineStr">
        <is>
          <t>Национальные силы / Интерпол / Netwatch: 2 агента с AV-4. Very Heavy Pistols + Assault Rifles, Light Armorjack.</t>
        </is>
      </c>
      <c r="H134" s="18" t="n"/>
      <c r="I134" s="18" t="n"/>
      <c r="J134" s="18" t="n"/>
      <c r="K134" s="18" t="n"/>
      <c r="L134" s="18" t="n"/>
      <c r="M134" s="18" t="n"/>
      <c r="N134" s="19" t="n"/>
    </row>
    <row r="137" ht="34" customHeight="1">
      <c r="B137" s="21" t="inlineStr">
        <is>
          <t>▪ ВЫЗОВ: Действие → бросок 1d10, успех при результате ≤ ранга Backup. Дальше 1d6 — через сколько раундов подкрепление на месте. Выпало «6» — приезжает тир на уровень выше (на 10-м ранге — сразу две группы). Никто не ответил — пробуй в следующем ходу.</t>
        </is>
      </c>
      <c r="C137" s="18" t="n"/>
      <c r="D137" s="18" t="n"/>
      <c r="E137" s="18" t="n"/>
      <c r="F137" s="18" t="n"/>
      <c r="G137" s="18" t="n"/>
      <c r="H137" s="18" t="n"/>
      <c r="I137" s="18" t="n"/>
      <c r="J137" s="18" t="n"/>
      <c r="K137" s="18" t="n"/>
      <c r="L137" s="18" t="n"/>
      <c r="M137" s="18" t="n"/>
      <c r="N137" s="19" t="n"/>
    </row>
    <row r="138" ht="34" customHeight="1">
      <c r="B138" s="21" t="inlineStr">
        <is>
          <t>▪ ЗЛОУПОТРЕБЛЕНИЕ: если звать Backup по каждому чиху, начальство штрафует или разжаловает (решает GM). Отставной коп зовёт только тех, с кем сохранил отношения, — это и есть цена ухода со службы.</t>
        </is>
      </c>
      <c r="C138" s="18" t="n"/>
      <c r="D138" s="18" t="n"/>
      <c r="E138" s="18" t="n"/>
      <c r="F138" s="18" t="n"/>
      <c r="G138" s="18" t="n"/>
      <c r="H138" s="18" t="n"/>
      <c r="I138" s="18" t="n"/>
      <c r="J138" s="18" t="n"/>
      <c r="K138" s="18" t="n"/>
      <c r="L138" s="18" t="n"/>
      <c r="M138" s="18" t="n"/>
      <c r="N138" s="19" t="n"/>
    </row>
    <row r="139" ht="34" customHeight="1">
      <c r="B139" s="21" t="inlineStr">
        <is>
          <t>▪ В БОЮ: Backup атакует и защищается боевым номером (стат + навык) и НЕ уклоняется от пуль. Их ходы ведёт GM; они приезжают на своей технике.</t>
        </is>
      </c>
      <c r="C139" s="18" t="n"/>
      <c r="D139" s="18" t="n"/>
      <c r="E139" s="18" t="n"/>
      <c r="F139" s="18" t="n"/>
      <c r="G139" s="18" t="n"/>
      <c r="H139" s="18" t="n"/>
      <c r="I139" s="18" t="n"/>
      <c r="J139" s="18" t="n"/>
      <c r="K139" s="18" t="n"/>
      <c r="L139" s="18" t="n"/>
      <c r="M139" s="18" t="n"/>
      <c r="N139" s="19" t="n"/>
    </row>
    <row r="140" ht="34" customHeight="1">
      <c r="B140" s="21" t="inlineStr">
        <is>
          <t>▪ РАНГ 10, ОСОБОЕ: 2 агента остаются до закрытия дела и могут считать по боевому номеру навыки Criminology, Deduction, Interrogation, Paramedic, Perception, Stealth, Tracking и другие «следственные».</t>
        </is>
      </c>
      <c r="C140" s="18" t="n"/>
      <c r="D140" s="18" t="n"/>
      <c r="E140" s="18" t="n"/>
      <c r="F140" s="18" t="n"/>
      <c r="G140" s="18" t="n"/>
      <c r="H140" s="18" t="n"/>
      <c r="I140" s="18" t="n"/>
      <c r="J140" s="18" t="n"/>
      <c r="K140" s="18" t="n"/>
      <c r="L140" s="18" t="n"/>
      <c r="M140" s="18" t="n"/>
      <c r="N140" s="19" t="n"/>
    </row>
    <row r="141" ht="34" customHeight="1">
      <c r="B141" s="21" t="inlineStr">
        <is>
          <t>▪ ОБЯЗАТЕЛЬНЫЕ НАВЫКИ LAWMAN (минимум 2 каждому): Autofire (×2 — 2 очка за уровень), Criminology, Deduction, Handgun, Interrogation, Shoulder Arms, Tracking.</t>
        </is>
      </c>
      <c r="C141" s="18" t="n"/>
      <c r="D141" s="18" t="n"/>
      <c r="E141" s="18" t="n"/>
      <c r="F141" s="18" t="n"/>
      <c r="G141" s="18" t="n"/>
      <c r="H141" s="18" t="n"/>
      <c r="I141" s="18" t="n"/>
      <c r="J141" s="18" t="n"/>
      <c r="K141" s="18" t="n"/>
      <c r="L141" s="18" t="n"/>
      <c r="M141" s="18" t="n"/>
      <c r="N141" s="19" t="n"/>
    </row>
    <row r="142" ht="34" customHeight="1">
      <c r="B142" s="21" t="inlineStr">
        <is>
          <t>▪ ЛАЙФПАТ LAWMAN (1d6 по каждому): должность в подразделении, юрисдикция, коррумпированность подразделения, кто охотится на подразделение, главная цель подразделения. Запись — на листе 01 ДОСЬЕ, блок Ⅱ.</t>
        </is>
      </c>
      <c r="C142" s="18" t="n"/>
      <c r="D142" s="18" t="n"/>
      <c r="E142" s="18" t="n"/>
      <c r="F142" s="18" t="n"/>
      <c r="G142" s="18" t="n"/>
      <c r="H142" s="18" t="n"/>
      <c r="I142" s="18" t="n"/>
      <c r="J142" s="18" t="n"/>
      <c r="K142" s="18" t="n"/>
      <c r="L142" s="18" t="n"/>
      <c r="M142" s="18" t="n"/>
      <c r="N142" s="19" t="n"/>
    </row>
    <row r="144">
      <c r="B144" s="17" t="inlineStr">
        <is>
          <t>Ⅺ · СНАРЯЖЕНИЕ И БОЙ: ЧАСТЫЕ ВОПРОСЫ</t>
        </is>
      </c>
    </row>
    <row r="146" ht="26" customHeight="1">
      <c r="B146" s="21" t="inlineStr">
        <is>
          <t>Можно ли надеть броню на голову и тело отдельно?</t>
        </is>
      </c>
      <c r="C146" s="21" t="inlineStr">
        <is>
          <t>Да. SP головы и SP тела считаются отдельно, лучший SP в локации работает, второй слой не складывается.</t>
        </is>
      </c>
      <c r="D146" s="18" t="n"/>
      <c r="E146" s="18" t="n"/>
      <c r="F146" s="18" t="n"/>
      <c r="G146" s="18" t="n"/>
      <c r="H146" s="18" t="n"/>
      <c r="I146" s="18" t="n"/>
      <c r="J146" s="18" t="n"/>
      <c r="K146" s="18" t="n"/>
      <c r="L146" s="18" t="n"/>
      <c r="M146" s="18" t="n"/>
      <c r="N146" s="19" t="n"/>
    </row>
    <row r="147" ht="26" customHeight="1">
      <c r="B147" s="21" t="inlineStr">
        <is>
          <t>Что делать, если урон меньше SP?</t>
        </is>
      </c>
      <c r="C147" s="21" t="inlineStr">
        <is>
          <t>Урон не проходит, но броня всё равно аблейтится на 1 (если урон её не пробил). При пробитии — тоже на 1.</t>
        </is>
      </c>
      <c r="D147" s="18" t="n"/>
      <c r="E147" s="18" t="n"/>
      <c r="F147" s="18" t="n"/>
      <c r="G147" s="18" t="n"/>
      <c r="H147" s="18" t="n"/>
      <c r="I147" s="18" t="n"/>
      <c r="J147" s="18" t="n"/>
      <c r="K147" s="18" t="n"/>
      <c r="L147" s="18" t="n"/>
      <c r="M147" s="18" t="n"/>
      <c r="N147" s="19" t="n"/>
    </row>
    <row r="148" ht="26" customHeight="1">
      <c r="B148" s="21" t="inlineStr">
        <is>
          <t>Как складываются штрафы брони?</t>
        </is>
      </c>
      <c r="C148" s="21" t="inlineStr">
        <is>
          <t>Берётся только самый строгий штраф — он применяется один раз ко всем REF, DEX и MOVE.</t>
        </is>
      </c>
      <c r="D148" s="18" t="n"/>
      <c r="E148" s="18" t="n"/>
      <c r="F148" s="18" t="n"/>
      <c r="G148" s="18" t="n"/>
      <c r="H148" s="18" t="n"/>
      <c r="I148" s="18" t="n"/>
      <c r="J148" s="18" t="n"/>
      <c r="K148" s="18" t="n"/>
      <c r="L148" s="18" t="n"/>
      <c r="M148" s="18" t="n"/>
      <c r="N148" s="19" t="n"/>
    </row>
    <row r="149" ht="26" customHeight="1">
      <c r="B149" s="21" t="inlineStr">
        <is>
          <t>Крит-травма «не проходит» через SP?</t>
        </is>
      </c>
      <c r="C149" s="21" t="inlineStr">
        <is>
          <t>Нет. Крит-травма наносит +5 урона напрямую в HP и не гасится броней, даже если SP остановил весь обычный урон.</t>
        </is>
      </c>
      <c r="D149" s="18" t="n"/>
      <c r="E149" s="18" t="n"/>
      <c r="F149" s="18" t="n"/>
      <c r="G149" s="18" t="n"/>
      <c r="H149" s="18" t="n"/>
      <c r="I149" s="18" t="n"/>
      <c r="J149" s="18" t="n"/>
      <c r="K149" s="18" t="n"/>
      <c r="L149" s="18" t="n"/>
      <c r="M149" s="18" t="n"/>
      <c r="N149" s="19" t="n"/>
    </row>
    <row r="150" ht="26" customHeight="1">
      <c r="B150" s="21" t="inlineStr">
        <is>
          <t>Сколько крит-травм может быть у персонажа?</t>
        </is>
      </c>
      <c r="C150" s="21" t="inlineStr">
        <is>
          <t>Сколько угодно, но повторные травмы того же вида перебрасываются. Лечение — Quick Fix (эффект) или полноценное лечение (DV по таблице на листе 06).</t>
        </is>
      </c>
      <c r="D150" s="18" t="n"/>
      <c r="E150" s="18" t="n"/>
      <c r="F150" s="18" t="n"/>
      <c r="G150" s="18" t="n"/>
      <c r="H150" s="18" t="n"/>
      <c r="I150" s="18" t="n"/>
      <c r="J150" s="18" t="n"/>
      <c r="K150" s="18" t="n"/>
      <c r="L150" s="18" t="n"/>
      <c r="M150" s="18" t="n"/>
      <c r="N150" s="19" t="n"/>
    </row>
    <row r="151" ht="26" customHeight="1">
      <c r="B151" s="21" t="inlineStr">
        <is>
          <t>Как лечится серьёзное ранение?</t>
        </is>
      </c>
      <c r="C151" s="21" t="inlineStr">
        <is>
          <t>Естественно — 1 HP в день отдыха при стабилизации; Stim снимает штраф на час, Speedheal лечит BODY+WILL HP.</t>
        </is>
      </c>
      <c r="D151" s="18" t="n"/>
      <c r="E151" s="18" t="n"/>
      <c r="F151" s="18" t="n"/>
      <c r="G151" s="18" t="n"/>
      <c r="H151" s="18" t="n"/>
      <c r="I151" s="18" t="n"/>
      <c r="J151" s="18" t="n"/>
      <c r="K151" s="18" t="n"/>
      <c r="L151" s="18" t="n"/>
      <c r="M151" s="18" t="n"/>
      <c r="N151" s="19" t="n"/>
    </row>
  </sheetData>
  <mergeCells count="104">
    <mergeCell ref="G131:N131"/>
    <mergeCell ref="C65:N65"/>
    <mergeCell ref="C147:N147"/>
    <mergeCell ref="B137:N137"/>
    <mergeCell ref="E57:N57"/>
    <mergeCell ref="D109:N109"/>
    <mergeCell ref="B139:N139"/>
    <mergeCell ref="B123:N123"/>
    <mergeCell ref="D111:N111"/>
    <mergeCell ref="D6:N6"/>
    <mergeCell ref="B45:N45"/>
    <mergeCell ref="D108:N108"/>
    <mergeCell ref="C71:N71"/>
    <mergeCell ref="E58:N58"/>
    <mergeCell ref="D86:N86"/>
    <mergeCell ref="B100:N100"/>
    <mergeCell ref="D48:N48"/>
    <mergeCell ref="B141:N141"/>
    <mergeCell ref="D7:N7"/>
    <mergeCell ref="D112:N112"/>
    <mergeCell ref="D87:N87"/>
    <mergeCell ref="G133:N133"/>
    <mergeCell ref="D4:N4"/>
    <mergeCell ref="C77:N77"/>
    <mergeCell ref="D114:N114"/>
    <mergeCell ref="C151:N151"/>
    <mergeCell ref="B1:N1"/>
    <mergeCell ref="B13:N13"/>
    <mergeCell ref="D51:N51"/>
    <mergeCell ref="E59:N59"/>
    <mergeCell ref="D113:N113"/>
    <mergeCell ref="D50:N50"/>
    <mergeCell ref="D115:N115"/>
    <mergeCell ref="C75:N75"/>
    <mergeCell ref="C80:N80"/>
    <mergeCell ref="E54:N54"/>
    <mergeCell ref="B63:N63"/>
    <mergeCell ref="D101:N101"/>
    <mergeCell ref="E56:N56"/>
    <mergeCell ref="D11:N11"/>
    <mergeCell ref="B138:N138"/>
    <mergeCell ref="C70:N70"/>
    <mergeCell ref="B3:N3"/>
    <mergeCell ref="C81:N81"/>
    <mergeCell ref="D53:N53"/>
    <mergeCell ref="D47:N47"/>
    <mergeCell ref="B140:N140"/>
    <mergeCell ref="D103:N103"/>
    <mergeCell ref="D9:N9"/>
    <mergeCell ref="B61:N61"/>
    <mergeCell ref="E60:N60"/>
    <mergeCell ref="B119:N119"/>
    <mergeCell ref="C74:N74"/>
    <mergeCell ref="D89:N89"/>
    <mergeCell ref="B84:N84"/>
    <mergeCell ref="D88:N88"/>
    <mergeCell ref="B127:N127"/>
    <mergeCell ref="D10:N10"/>
    <mergeCell ref="B142:N142"/>
    <mergeCell ref="D105:N105"/>
    <mergeCell ref="D52:N52"/>
    <mergeCell ref="B144:N144"/>
    <mergeCell ref="D49:N49"/>
    <mergeCell ref="B97:N97"/>
    <mergeCell ref="D107:N107"/>
    <mergeCell ref="C150:N150"/>
    <mergeCell ref="D116:N116"/>
    <mergeCell ref="C67:N67"/>
    <mergeCell ref="B90:N90"/>
    <mergeCell ref="B121:N121"/>
    <mergeCell ref="C72:N72"/>
    <mergeCell ref="B122:N122"/>
    <mergeCell ref="B43:N43"/>
    <mergeCell ref="D106:N106"/>
    <mergeCell ref="C69:N69"/>
    <mergeCell ref="C78:N78"/>
    <mergeCell ref="D102:N102"/>
    <mergeCell ref="D5:N5"/>
    <mergeCell ref="C64:N64"/>
    <mergeCell ref="D85:N85"/>
    <mergeCell ref="C79:N79"/>
    <mergeCell ref="C73:N73"/>
    <mergeCell ref="B37:N37"/>
    <mergeCell ref="G130:N130"/>
    <mergeCell ref="C146:N146"/>
    <mergeCell ref="B92:N92"/>
    <mergeCell ref="D46:N46"/>
    <mergeCell ref="B124:N124"/>
    <mergeCell ref="C148:N148"/>
    <mergeCell ref="G132:N132"/>
    <mergeCell ref="C76:N76"/>
    <mergeCell ref="D104:N104"/>
    <mergeCell ref="E55:N55"/>
    <mergeCell ref="C82:N82"/>
    <mergeCell ref="B125:N125"/>
    <mergeCell ref="C149:N149"/>
    <mergeCell ref="C66:N66"/>
    <mergeCell ref="C68:N68"/>
    <mergeCell ref="B98:N98"/>
    <mergeCell ref="D8:N8"/>
    <mergeCell ref="G129:N129"/>
    <mergeCell ref="D117:N117"/>
    <mergeCell ref="G134:N134"/>
    <mergeCell ref="D110:N110"/>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1B2430"/>
    <outlinePr summaryBelow="1" summaryRight="1"/>
    <pageSetUpPr fitToPage="1"/>
  </sheetPr>
  <dimension ref="B1:C47"/>
  <sheetViews>
    <sheetView showGridLines="0" workbookViewId="0">
      <selection activeCell="A1" sqref="A1"/>
    </sheetView>
  </sheetViews>
  <sheetFormatPr baseColWidth="8" defaultRowHeight="15"/>
  <cols>
    <col width="2" customWidth="1" min="1" max="1"/>
    <col width="34" customWidth="1" min="2" max="2"/>
    <col width="120" customWidth="1" min="3" max="3"/>
    <col width="2" customWidth="1" min="4" max="4"/>
  </cols>
  <sheetData>
    <row r="1" ht="20" customHeight="1">
      <c r="B1" s="1" t="inlineStr">
        <is>
          <t>КАК ПОЛЬЗОВАТЬСЯ ЭТИМ ЛИСТОМ  ▚  NC//NET · НАЙТ-СИТИ 2070</t>
        </is>
      </c>
    </row>
    <row r="4">
      <c r="B4" s="17" t="inlineStr">
        <is>
          <t>Ⅰ · ГЛАВНОЕ ПРО ЦВЕТА И ЛОГИКУ</t>
        </is>
      </c>
    </row>
    <row r="5" ht="30" customHeight="1">
      <c r="B5" s="8" t="inlineStr">
        <is>
          <t>Жёлтые поля</t>
        </is>
      </c>
      <c r="C5" s="32" t="inlineStr">
        <is>
          <t>Сюда пишешь ты. Свободный ввод: имена, отыгрыш, отряды оружия, патроны, даты.</t>
        </is>
      </c>
    </row>
    <row r="6" ht="30" customHeight="1">
      <c r="B6" s="8" t="inlineStr">
        <is>
          <t>Серо-синие поля</t>
        </is>
      </c>
      <c r="C6" s="32" t="inlineStr">
        <is>
          <t>Считается само. Можно перебить своим значением — формула заменится цифрой.</t>
        </is>
      </c>
    </row>
    <row r="7" ht="30" customHeight="1">
      <c r="B7" s="8" t="inlineStr">
        <is>
          <t>Красные и «⚠»</t>
        </is>
      </c>
      <c r="C7" s="32" t="inlineStr">
        <is>
          <t>Проверки: перерасход бюджета, лишние очки, киберпсихоз, превышение ранга роли.</t>
        </is>
      </c>
    </row>
    <row r="8" ht="30" customHeight="1">
      <c r="B8" s="8" t="inlineStr">
        <is>
          <t>Лист 01 ДОСЬЕ</t>
        </is>
      </c>
      <c r="C8" s="32" t="inlineStr">
        <is>
          <t>Первый лист — история персонажа: имя, роль, психопрофиль, связи, работа соло. Служебная сводка внизу тянет цифры с остальных листов. Это то, что читает GM.</t>
        </is>
      </c>
    </row>
    <row r="9" ht="30" customHeight="1">
      <c r="B9" s="8" t="inlineStr">
        <is>
          <t>Лист 02 ОСНОВА</t>
        </is>
      </c>
      <c r="C9" s="32" t="inlineStr">
        <is>
          <t>Характеристики (62 очка), производные (HP, Humanity, инициатива), ролевая способность — Combat Awareness (Solo) и таблица Backup (Lawman), оружие в руках, броня и памятка бойца.</t>
        </is>
      </c>
    </row>
    <row r="10" ht="30" customHeight="1">
      <c r="B10" s="8" t="inlineStr">
        <is>
          <t>Лист 03 НАВЫКИ</t>
        </is>
      </c>
      <c r="C10" s="32" t="inlineStr">
        <is>
          <t>66 навыков из гайда + 6 свободных строк. Пишешь только уровень — база (уровень + стата с учётом штрафа брони) считается сама. Внизу проверка обязательных 13 и максимума 6.</t>
        </is>
      </c>
    </row>
    <row r="11" ht="30" customHeight="1">
      <c r="B11" s="8" t="inlineStr">
        <is>
          <t>Лист 04 ХРОМ</t>
        </is>
      </c>
      <c r="C11" s="32" t="inlineStr">
        <is>
          <t>Импланты: HL по среднему, срез максимума Humanity, клиника, слоты. Здесь же Humanity, терапия и ментальная травма 2070-х.</t>
        </is>
      </c>
    </row>
    <row r="12" ht="45" customHeight="1">
      <c r="B12" s="8" t="inlineStr">
        <is>
          <t>Лист 05 СНАРЯЖЕНИЕ</t>
        </is>
      </c>
      <c r="C12" s="32" t="inlineStr">
        <is>
          <t>Стартовый бюджет 2550 + 800 на стиль. Траты копятся из трёх мест: инвентарь (Ⅲ), броня (Ⅱ) и установленный хром с листа 04 — дубли не считаются. Ниже касса кампании: доходы, траты, баланс.</t>
        </is>
      </c>
    </row>
    <row r="13" ht="30" customHeight="1">
      <c r="B13" s="8" t="inlineStr">
        <is>
          <t>Лист 06 СОСТОЯНИЕ</t>
        </is>
      </c>
      <c r="C13" s="32" t="inlineStr">
        <is>
          <t>Раны, крит-травмы (выбери локацию и бросок 2d6 — травма подтянется), зависимости, IP и лог дел. Здесь же таблицы крит-травм для стола.</t>
        </is>
      </c>
    </row>
    <row r="14" ht="30" customHeight="1">
      <c r="B14" s="8" t="inlineStr">
        <is>
          <t>КАТАЛОГ / СПРАВКА / ПРАВИЛА</t>
        </is>
      </c>
      <c r="C14" s="32" t="inlineStr">
        <is>
          <t>Каталог 1092 позиций из Data Pool и справочник DV/укрытий/IP. Эти листы не правь — на них ссылаются формулы.</t>
        </is>
      </c>
    </row>
    <row r="16">
      <c r="B16" s="17" t="inlineStr">
        <is>
          <t>Ⅱ · ШАГИ СОЗДАНИЯ ПЕРСОНАЖА (ГАЙД SPES DESPERATA)</t>
        </is>
      </c>
    </row>
    <row r="17" ht="30" customHeight="1">
      <c r="B17" s="8" t="inlineStr">
        <is>
          <t>1. Роль</t>
        </is>
      </c>
      <c r="C17" s="32" t="inlineStr">
        <is>
          <t>Lawman (коп в отставке) — ролевая способность Backup; Solo — Combat Awareness. На старте ранг роли 4. Обязательный пакет роли — 7 навыков минимум по 2 (лист 03, блок Ⅱ).</t>
        </is>
      </c>
    </row>
    <row r="18" ht="30" customHeight="1">
      <c r="B18" s="8" t="inlineStr">
        <is>
          <t>2. Lifepath</t>
        </is>
      </c>
      <c r="C18" s="32" t="inlineStr">
        <is>
          <t>Общий (CP:R стр. 45) + ролевой: Lawman — стр. 36 (должность, юрисдикция, коррумпированность, враг, цель), Solo — стр. 53. Результаты — на лист 01 ДОСЬЕ.</t>
        </is>
      </c>
    </row>
    <row r="19" ht="30" customHeight="1">
      <c r="B19" s="8" t="inlineStr">
        <is>
          <t>3. Характеристики</t>
        </is>
      </c>
      <c r="C19" s="32" t="inlineStr">
        <is>
          <t>62 очка на 10 стат, каждая от 2 до 8. Рабочий приём: по 6 везде, потом 2 лишних по вкусу.</t>
        </is>
      </c>
    </row>
    <row r="20" ht="30" customHeight="1">
      <c r="B20" s="8" t="inlineStr">
        <is>
          <t>4. Производные</t>
        </is>
      </c>
      <c r="C20" s="32" t="inlineStr">
        <is>
          <t>HP = 10 + 5 × ⌈(BODY+WILL)/2⌉, порог серьёзного ранения — половина HP вверх, спасбросок = BODY, Humanity = EMP × 10. Всё считается на листе 02.</t>
        </is>
      </c>
    </row>
    <row r="21" ht="30" customHeight="1">
      <c r="B21" s="8" t="inlineStr">
        <is>
          <t>5. Навыки</t>
        </is>
      </c>
      <c r="C21" s="32" t="inlineStr">
        <is>
          <t>86 очков: 26 в 13 обязательных (по 2) + 60 свободных, максимум 6. Родной язык — 4 уровня бесплатно. Навыки с ×2 стоят 2 очка за уровень.</t>
        </is>
      </c>
    </row>
    <row r="22" ht="45" customHeight="1">
      <c r="B22" s="8" t="inlineStr">
        <is>
          <t>6. Закупка</t>
        </is>
      </c>
      <c r="C22" s="32" t="inlineStr">
        <is>
          <t>2550 €$ на оружие, броню, снаряжение и хром + 800 €$ на Fashion и Fashionware. Бюджет считается сам: инвентарь + броня + установленный хром; Neuroport при создании бесплатен (0 €$, 0 HL). Неиспользованное сгорает.</t>
        </is>
      </c>
    </row>
    <row r="23" ht="30" customHeight="1">
      <c r="B23" s="8" t="inlineStr">
        <is>
          <t>7. Lifestyle</t>
        </is>
      </c>
      <c r="C23" s="32" t="inlineStr">
        <is>
          <t>Kibble (100 €$/мес) и жильё покрыты. Дальше платишь сам — см. СПРАВКУ.</t>
        </is>
      </c>
    </row>
    <row r="25">
      <c r="B25" s="17" t="inlineStr">
        <is>
          <t>Ⅲ · LAWMAN В 2070-Х: КОП ВНЕ СИСТЕМЫ</t>
        </is>
      </c>
    </row>
    <row r="26" ht="30" customHeight="1">
      <c r="B26" s="8" t="inlineStr">
        <is>
          <t>Backup — твой козырь</t>
        </is>
      </c>
      <c r="C26" s="32" t="inlineStr">
        <is>
          <t>Ранг роли = шанс дозвониться. Действие, 1d10 ≤ ранга, приезд через 1d6 раундов; «6» на d6 — тир выше. Таблица тиров — на листах 02 и СПРАВКА.</t>
        </is>
      </c>
    </row>
    <row r="27" ht="45" customHeight="1">
      <c r="B27" s="8" t="inlineStr">
        <is>
          <t>Цена отставки</t>
        </is>
      </c>
      <c r="C27" s="32" t="inlineStr">
        <is>
          <t>Отставной коп зовёт только тех, с кем сохранил отношения, и только когда действительно надо: частые вызовы = штраф или разжалование. Взамен — свобода работать вне приказов и доступ к старым базам данных.</t>
        </is>
      </c>
    </row>
    <row r="28" ht="45" customHeight="1">
      <c r="B28" s="8" t="inlineStr">
        <is>
          <t>Навыки копа</t>
        </is>
      </c>
      <c r="C28" s="32" t="inlineStr">
        <is>
          <t>Criminology, Deduction, Interrogation, Tracking — расследование; Autofire (×2), Handgun, Shoulder Arms — стволы; плюс социальные (Conversation, Human Perception, Persuasion, Bribery), чтобы говорить с улицей и с управлением.</t>
        </is>
      </c>
    </row>
    <row r="29" ht="30" customHeight="1">
      <c r="B29" s="8" t="inlineStr">
        <is>
          <t>Роль в команде</t>
        </is>
      </c>
      <c r="C29" s="32" t="inlineStr">
        <is>
          <t>Ты — тот, кто читает место преступления, держит допрос и приводит подкрепление, когда всё пошло не так. Броня и ствол у тебя как у «стены», но решать дело ты можешь и языком.</t>
        </is>
      </c>
    </row>
    <row r="31">
      <c r="B31" s="17" t="inlineStr">
        <is>
          <t>Ⅳ · SOLO В 2070-Х: ЧТО ДЕРЖАТЬ В ГОЛОВЕ</t>
        </is>
      </c>
    </row>
    <row r="32" ht="30" customHeight="1">
      <c r="B32" s="8" t="inlineStr">
        <is>
          <t>Combat Awareness</t>
        </is>
      </c>
      <c r="C32" s="32" t="inlineStr">
        <is>
          <t>Свободно распределяешь очки ранга между шестью способностями: до боя, вне боя и — за Действие — в бою. Расклад на листе 02, там же счётчик вложенного.</t>
        </is>
      </c>
    </row>
    <row r="33" ht="30" customHeight="1">
      <c r="B33" s="8" t="inlineStr">
        <is>
          <t>Загрузка под задачу</t>
        </is>
      </c>
      <c r="C33" s="32" t="inlineStr">
        <is>
          <t>Перед штурмом — Precision Attack, в обороне — Damage Deflection, на разведке — Threat Detection. Не забывай менять расклад под сцену.</t>
        </is>
      </c>
    </row>
    <row r="34" ht="30" customHeight="1">
      <c r="B34" s="8" t="inlineStr">
        <is>
          <t>Что чаще всего нужно</t>
        </is>
      </c>
      <c r="C34" s="32" t="inlineStr">
        <is>
          <t>Autofire и Shoulder Arms для тяжёлых целей, Handgun всегда с собой, Interrogation и Resist Torture/Drugs — рабочие навыки наёмника, Tactics — чтобы читать поле боя.</t>
        </is>
      </c>
    </row>
    <row r="35" ht="30" customHeight="1">
      <c r="B35" s="8" t="inlineStr">
        <is>
          <t>Роль в команде</t>
        </is>
      </c>
      <c r="C35" s="32" t="inlineStr">
        <is>
          <t>Ты — тот, кто держит линию огня, читает засады и вытаскивает раненых. Твоя броня и SP — аргумент в переговорах; твоя Humanity — цена за хром.</t>
        </is>
      </c>
    </row>
    <row r="37">
      <c r="B37" s="17" t="inlineStr">
        <is>
          <t>Ⅳ · ЕСЛИ ЧТО-ТО СЛОМАЛОСЬ</t>
        </is>
      </c>
    </row>
    <row r="38" ht="30" customHeight="1">
      <c r="B38" s="8" t="inlineStr">
        <is>
          <t>Появилась вещь не из каталога</t>
        </is>
      </c>
      <c r="C38" s="32" t="inlineStr">
        <is>
          <t>Впиши название вручную, а цену — в столбец «ЦЕНА СВОЯ»: сумма и бюджет посчитаются по ней.</t>
        </is>
      </c>
    </row>
    <row r="39" ht="30" customHeight="1">
      <c r="B39" s="8" t="inlineStr">
        <is>
          <t>Добавляешь строки</t>
        </is>
      </c>
      <c r="C39" s="32" t="inlineStr">
        <is>
          <t>Вставляй строки ВНУТРИ таблиц (не вместо заголовков) — тогда формулы и суммы подтянутся. Если что-то поехало — сверься с адресами в шапке блоков.</t>
        </is>
      </c>
    </row>
    <row r="40" ht="30" customHeight="1">
      <c r="B40" s="8" t="inlineStr">
        <is>
          <t>Не переименовывай листы</t>
        </is>
      </c>
      <c r="C40" s="32" t="inlineStr">
        <is>
          <t>Формулы ссылаются на «02 ОСНОВА», «04 ХРОМ» и остальные листы по именам.</t>
        </is>
      </c>
    </row>
    <row r="41" ht="30" customHeight="1">
      <c r="B41" s="8" t="inlineStr">
        <is>
          <t>Хочешь больше автоподстановки</t>
        </is>
      </c>
      <c r="C41" s="32" t="inlineStr">
        <is>
          <t>Расширь КАТАЛОГ: добавь строку с тем же порядком столбцов, и подстановка заработает.</t>
        </is>
      </c>
    </row>
    <row r="43">
      <c r="B43" s="17" t="inlineStr">
        <is>
          <t>Ⅴ · ИСТОЧНИКИ</t>
        </is>
      </c>
    </row>
    <row r="44" ht="30" customHeight="1">
      <c r="B44" s="8" t="inlineStr">
        <is>
          <t>Cyberpunk RED Corebook</t>
        </is>
      </c>
      <c r="C44" s="32" t="inlineStr">
        <is>
          <t>Создание персонажа (стр. 73–89), навыки (стр. 86–90), броня и оружие (стр. 340–351), бой (стр. 170–190), терапия (стр. 229), IP (стр. 408), Lifestyle (стр. 377).</t>
        </is>
      </c>
    </row>
    <row r="45" ht="30" customHeight="1">
      <c r="B45" s="8" t="inlineStr">
        <is>
          <t>Cyberpunk: Edgerunners Mission Kit</t>
        </is>
      </c>
      <c r="C45" s="32" t="inlineStr">
        <is>
          <t>Правила 2070-х: Neuroport (стр. 26, 35), твики ролей, расширенная доступность, ментальная травма (стр. 28–30).</t>
        </is>
      </c>
    </row>
    <row r="46" ht="30" customHeight="1">
      <c r="B46" s="8" t="inlineStr">
        <is>
          <t>Гайд «Spes Desperata»</t>
        </is>
      </c>
      <c r="C46" s="32" t="inlineStr">
        <is>
          <t>Порядок создания, 62/86, must-have навыки по ролям, закупка, Lifestyle — используется в кампании.</t>
        </is>
      </c>
    </row>
    <row r="47" ht="30" customHeight="1">
      <c r="B47" s="8" t="inlineStr">
        <is>
          <t>Дисклеймер</t>
        </is>
      </c>
      <c r="C47" s="32" t="inlineStr">
        <is>
          <t>Это домашний лист для вашей кампании. Если у стола свои дом-правила — правь смело: формулы простые, все правила лежат рядом.</t>
        </is>
      </c>
    </row>
  </sheetData>
  <mergeCells count="7">
    <mergeCell ref="B16:C16"/>
    <mergeCell ref="B25:C25"/>
    <mergeCell ref="B37:C37"/>
    <mergeCell ref="B31:C31"/>
    <mergeCell ref="B1:C1"/>
    <mergeCell ref="B4:C4"/>
    <mergeCell ref="B43:C43"/>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2026-09-18T22:58:14Z</dcterms:created>
  <dcterms:modified xsi:type="dcterms:W3CDTF">2026-09-18T23:46:21Z</dcterms:modified>
</cp:coreProperties>
</file>